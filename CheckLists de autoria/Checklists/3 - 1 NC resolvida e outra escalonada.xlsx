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lanoGarantiaQualidade\CheckLists de autoria\Checklists\"/>
    </mc:Choice>
  </mc:AlternateContent>
  <xr:revisionPtr revIDLastSave="0" documentId="13_ncr:1_{035E5931-8D67-4301-9D14-2752253531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C28" i="2" l="1"/>
  <c r="C27" i="2"/>
  <c r="C26" i="2"/>
  <c r="B13" i="2"/>
  <c r="B12" i="2"/>
  <c r="B11" i="2"/>
  <c r="B10" i="2"/>
  <c r="H28" i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9" i="2" l="1"/>
  <c r="A17" i="2"/>
</calcChain>
</file>

<file path=xl/sharedStrings.xml><?xml version="1.0" encoding="utf-8"?>
<sst xmlns="http://schemas.openxmlformats.org/spreadsheetml/2006/main" count="98" uniqueCount="78">
  <si>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</si>
  <si>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</si>
  <si>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</si>
  <si>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</si>
  <si>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</si>
  <si>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</si>
  <si>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</si>
  <si>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</si>
  <si>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</si>
  <si>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</si>
  <si>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</si>
  <si>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</si>
  <si>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</si>
  <si>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</si>
  <si>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Auditor de QA: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</si>
  <si>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</si>
  <si>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</si>
  <si>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</si>
  <si>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</si>
  <si>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</si>
  <si>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</si>
  <si>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</si>
  <si>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</si>
  <si>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</si>
  <si>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</si>
  <si>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</si>
  <si>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</si>
  <si>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</si>
  <si>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</si>
  <si>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</si>
  <si>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</si>
  <si>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</si>
  <si>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</si>
  <si>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</si>
  <si>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</si>
  <si>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</si>
  <si>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</si>
  <si>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</si>
  <si>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</si>
  <si>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</si>
  <si>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</si>
  <si>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</si>
  <si>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</si>
  <si>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</si>
  <si>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</si>
  <si>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</si>
  <si>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</si>
  <si>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</si>
  <si>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</si>
  <si>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</si>
  <si>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</si>
  <si>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</si>
  <si>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</si>
  <si>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</si>
  <si>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</si>
  <si>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</si>
  <si>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</si>
  <si>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</si>
  <si>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</si>
  <si>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</si>
  <si>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</si>
  <si>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</si>
  <si>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</si>
  <si>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</si>
  <si>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</si>
  <si>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</si>
  <si>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</si>
  <si>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</si>
  <si>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</si>
  <si>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</si>
  <si>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</si>
  <si>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</si>
  <si>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</si>
  <si>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Resolvida</t>
  </si>
  <si>
    <t>Escalonada</t>
  </si>
  <si>
    <t>4 aulas</t>
  </si>
  <si>
    <t>Relatório de Teste de Usabilidade do Sistema Web - iFood</t>
  </si>
  <si>
    <t>Gustavo Giacoia, André Gritten, Eduardo Blasczak, Mateus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</si>
</sst>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  <xf numFmtId="0" fontId="9" fillId="0" borderId="0" xfId="0" applyFont="1"/>
    <xf numFmtId="0" fontId="4" fillId="4" borderId="2" xfId="0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4" fillId="4" borderId="2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20" activePane="bottomLeft" state="frozen"/>
      <selection pane="bottomLeft" activeCell="I29" sqref="I29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0" t="s">
        <v>71</v>
      </c>
      <c r="J2" s="2" t="s">
        <v>9</v>
      </c>
      <c r="K2" s="2" t="s">
        <v>10</v>
      </c>
    </row>
    <row r="3" spans="1:11" ht="20.25" customHeight="1" x14ac:dyDescent="0.3">
      <c r="A3" s="41" t="s">
        <v>43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27.75" customHeight="1" x14ac:dyDescent="0.3">
      <c r="A4" s="3">
        <v>1</v>
      </c>
      <c r="B4" s="4" t="s">
        <v>38</v>
      </c>
      <c r="C4" s="4" t="s">
        <v>67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39</v>
      </c>
      <c r="C5" s="4" t="s">
        <v>66</v>
      </c>
      <c r="D5" s="29">
        <v>46269.370138888888</v>
      </c>
      <c r="E5" s="28" t="s">
        <v>69</v>
      </c>
      <c r="F5" s="4" t="s">
        <v>34</v>
      </c>
      <c r="G5" s="28" t="s">
        <v>70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>
        <v>46269.381944444445</v>
      </c>
      <c r="K5" s="4" t="s">
        <v>73</v>
      </c>
    </row>
    <row r="6" spans="1:11" ht="27.75" customHeight="1" x14ac:dyDescent="0.3">
      <c r="A6" s="3">
        <v>3</v>
      </c>
      <c r="B6" s="4" t="s">
        <v>40</v>
      </c>
      <c r="C6" s="4" t="s">
        <v>67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41</v>
      </c>
      <c r="C7" s="4" t="s">
        <v>67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42</v>
      </c>
      <c r="C8" s="4" t="s">
        <v>67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41" t="s">
        <v>44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27.75" customHeight="1" x14ac:dyDescent="0.3">
      <c r="A10" s="3">
        <v>6</v>
      </c>
      <c r="B10" s="4" t="s">
        <v>45</v>
      </c>
      <c r="C10" s="4" t="s">
        <v>67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46</v>
      </c>
      <c r="C11" s="4" t="s">
        <v>67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47</v>
      </c>
      <c r="C12" s="4" t="s">
        <v>67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48</v>
      </c>
      <c r="C13" s="4" t="s">
        <v>67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49</v>
      </c>
      <c r="C14" s="4" t="s">
        <v>67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41" t="s">
        <v>50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</row>
    <row r="16" spans="1:11" ht="27.75" customHeight="1" x14ac:dyDescent="0.3">
      <c r="A16" s="3">
        <v>11</v>
      </c>
      <c r="B16" s="4" t="s">
        <v>51</v>
      </c>
      <c r="C16" s="4" t="s">
        <v>67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52</v>
      </c>
      <c r="C17" s="4" t="s">
        <v>67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53</v>
      </c>
      <c r="C18" s="4" t="s">
        <v>67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54</v>
      </c>
      <c r="C19" s="4" t="s">
        <v>67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55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56</v>
      </c>
      <c r="C21" s="4" t="s">
        <v>67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57</v>
      </c>
      <c r="C22" s="4" t="s">
        <v>67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58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60</v>
      </c>
      <c r="C24" s="4" t="s">
        <v>67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62</v>
      </c>
      <c r="B25" s="19" t="s">
        <v>61</v>
      </c>
      <c r="C25" s="4" t="s">
        <v>67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63</v>
      </c>
      <c r="C27" s="26" t="s">
        <v>66</v>
      </c>
      <c r="D27" s="31">
        <v>46269.375</v>
      </c>
      <c r="E27" s="26" t="s">
        <v>72</v>
      </c>
      <c r="F27" s="26" t="s">
        <v>35</v>
      </c>
      <c r="G27" s="27" t="s">
        <v>68</v>
      </c>
      <c r="H27" s="31">
        <v>46269.463194444441</v>
      </c>
      <c r="I27" s="31">
        <v>46269.428472222222</v>
      </c>
      <c r="J27" s="24"/>
      <c r="K27" s="26" t="s">
        <v>74</v>
      </c>
    </row>
    <row r="28" spans="1:11" ht="27.75" customHeight="1" x14ac:dyDescent="0.3">
      <c r="A28" s="3">
        <v>20</v>
      </c>
      <c r="B28" s="4" t="s">
        <v>64</v>
      </c>
      <c r="C28" s="4" t="s">
        <v>67</v>
      </c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4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29" xr:uid="{00000000-0002-0000-0000-000002000000}">
      <formula1>"Aberta,Em Resolução,Escalonada,Resolvida,Verificada,Encerrada"</formula1>
      <formula2>0</formula2>
    </dataValidation>
    <dataValidation type="list" allowBlank="1" showInputMessage="1" showErrorMessage="1" sqref="K3:K28" xr:uid="{ACFD52CB-2D98-4B5F-A5A0-77E7B3517700}">
      <formula1>"Aberta,Resolvida,Escalonada"</formula1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zoomScaleNormal="100" workbookViewId="0">
      <selection activeCell="B5" sqref="B5:E5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7" t="s">
        <v>11</v>
      </c>
      <c r="B1" s="37"/>
      <c r="C1" s="37"/>
      <c r="D1" s="37"/>
      <c r="E1" s="37"/>
      <c r="F1" s="37"/>
      <c r="G1" s="37"/>
    </row>
    <row r="2" spans="1:7" x14ac:dyDescent="0.3">
      <c r="A2" s="38" t="s">
        <v>12</v>
      </c>
      <c r="B2" s="38"/>
      <c r="C2" s="38"/>
      <c r="D2" s="38"/>
      <c r="E2" s="38"/>
      <c r="F2" s="38"/>
      <c r="G2" s="38"/>
    </row>
    <row r="4" spans="1:7" ht="30" customHeight="1" x14ac:dyDescent="0.3">
      <c r="A4" s="7" t="s">
        <v>13</v>
      </c>
      <c r="B4" s="33" t="s">
        <v>76</v>
      </c>
      <c r="C4" s="33"/>
      <c r="D4" s="33"/>
      <c r="E4" s="33"/>
    </row>
    <row r="5" spans="1:7" ht="18" customHeight="1" x14ac:dyDescent="0.3">
      <c r="A5" s="7" t="s">
        <v>14</v>
      </c>
      <c r="B5" s="33" t="s">
        <v>77</v>
      </c>
      <c r="C5" s="33"/>
      <c r="D5" s="33"/>
      <c r="E5" s="33"/>
    </row>
    <row r="6" spans="1:7" ht="18" customHeight="1" x14ac:dyDescent="0.3">
      <c r="A6" s="7" t="s">
        <v>15</v>
      </c>
      <c r="B6" s="39">
        <v>46269</v>
      </c>
      <c r="C6" s="39"/>
      <c r="D6" s="39"/>
      <c r="E6" s="39"/>
    </row>
    <row r="7" spans="1:7" ht="18" customHeight="1" x14ac:dyDescent="0.3">
      <c r="A7" s="7" t="s">
        <v>16</v>
      </c>
      <c r="B7" s="33" t="s">
        <v>75</v>
      </c>
      <c r="C7" s="33"/>
      <c r="D7" s="33"/>
      <c r="E7" s="33"/>
    </row>
    <row r="8" spans="1:7" ht="30" customHeight="1" x14ac:dyDescent="0.3">
      <c r="A8" s="7" t="s">
        <v>17</v>
      </c>
      <c r="B8" s="33" t="s">
        <v>18</v>
      </c>
      <c r="C8" s="33"/>
      <c r="D8" s="33"/>
      <c r="E8" s="33"/>
    </row>
    <row r="10" spans="1:7" ht="18" customHeight="1" x14ac:dyDescent="0.3">
      <c r="A10" s="7" t="s">
        <v>19</v>
      </c>
      <c r="B10" s="8">
        <f>COUNTA('Checklist - Auditoria'!$B$3:$B$28)</f>
        <v>20</v>
      </c>
    </row>
    <row r="11" spans="1:7" ht="18" customHeight="1" x14ac:dyDescent="0.3">
      <c r="A11" s="7" t="s">
        <v>20</v>
      </c>
      <c r="B11" s="8">
        <f>COUNTIF('Checklist - Auditoria'!$C$3:$C$28,"Conforme")</f>
        <v>18</v>
      </c>
    </row>
    <row r="12" spans="1:7" ht="18" customHeight="1" x14ac:dyDescent="0.3">
      <c r="A12" s="7" t="s">
        <v>21</v>
      </c>
      <c r="B12" s="8">
        <f>COUNTIF('Checklist - Auditoria'!$C$3:$C$28,"Não Conforme")</f>
        <v>2</v>
      </c>
    </row>
    <row r="13" spans="1:7" ht="18" customHeight="1" x14ac:dyDescent="0.3">
      <c r="A13" s="7" t="s">
        <v>22</v>
      </c>
      <c r="B13" s="8">
        <f>COUNTIF('Checklist - Auditoria'!$C$3:$C$28,"Não se Aplica")</f>
        <v>0</v>
      </c>
    </row>
    <row r="14" spans="1:7" ht="18" customHeight="1" x14ac:dyDescent="0.3">
      <c r="A14" s="7" t="s">
        <v>23</v>
      </c>
      <c r="B14" s="8">
        <f>COUNTIFS('Checklist - Auditoria'!$C$3:$C$28,"Não Conforme",'Checklist - Auditoria'!$K$3:$K$28,"&lt;&gt;Resolvida")</f>
        <v>1</v>
      </c>
    </row>
    <row r="16" spans="1:7" ht="16.5" customHeight="1" x14ac:dyDescent="0.3">
      <c r="A16" s="34" t="s">
        <v>24</v>
      </c>
      <c r="B16" s="34"/>
    </row>
    <row r="17" spans="1:7" ht="30" customHeight="1" x14ac:dyDescent="0.3">
      <c r="A17" s="35">
        <f>IFERROR(B11/(B10-B13),0)</f>
        <v>0.9</v>
      </c>
      <c r="B17" s="35"/>
    </row>
    <row r="19" spans="1:7" x14ac:dyDescent="0.3">
      <c r="A19" s="36" t="s">
        <v>25</v>
      </c>
      <c r="B19" s="36"/>
    </row>
    <row r="20" spans="1:7" x14ac:dyDescent="0.3">
      <c r="A20" s="9" t="s">
        <v>26</v>
      </c>
      <c r="B20" s="9" t="s">
        <v>27</v>
      </c>
    </row>
    <row r="21" spans="1:7" x14ac:dyDescent="0.3">
      <c r="A21" s="10" t="s">
        <v>28</v>
      </c>
      <c r="B21" s="10" t="s">
        <v>29</v>
      </c>
    </row>
    <row r="22" spans="1:7" x14ac:dyDescent="0.3">
      <c r="A22" s="11" t="s">
        <v>30</v>
      </c>
      <c r="B22" s="11" t="s">
        <v>31</v>
      </c>
    </row>
    <row r="25" spans="1:7" ht="27.75" customHeight="1" x14ac:dyDescent="0.3">
      <c r="A25" s="12" t="s">
        <v>32</v>
      </c>
      <c r="B25" s="12" t="s">
        <v>65</v>
      </c>
      <c r="C25" s="12" t="s">
        <v>33</v>
      </c>
    </row>
    <row r="26" spans="1:7" x14ac:dyDescent="0.3">
      <c r="A26" s="13" t="s">
        <v>34</v>
      </c>
      <c r="B26" s="14">
        <v>90</v>
      </c>
      <c r="C26" s="15">
        <f>COUNTIF('Checklist - Auditoria'!$F$3:$F$28,"Baixa")</f>
        <v>1</v>
      </c>
    </row>
    <row r="27" spans="1:7" x14ac:dyDescent="0.3">
      <c r="A27" s="13" t="s">
        <v>35</v>
      </c>
      <c r="B27" s="14">
        <v>60</v>
      </c>
      <c r="C27" s="15">
        <f>COUNTIF('Checklist - Auditoria'!$F$3:$F$28,"Média")</f>
        <v>1</v>
      </c>
    </row>
    <row r="28" spans="1:7" x14ac:dyDescent="0.3">
      <c r="A28" s="13" t="s">
        <v>36</v>
      </c>
      <c r="B28" s="14">
        <v>30</v>
      </c>
      <c r="C28" s="15">
        <f>COUNTIF('Checklist - Auditoria'!$F$3:$F$28,"Alta")</f>
        <v>0</v>
      </c>
    </row>
    <row r="29" spans="1:7" x14ac:dyDescent="0.3">
      <c r="A29" s="16" t="s">
        <v>37</v>
      </c>
      <c r="B29" s="17"/>
      <c r="C29" s="18">
        <f>SUM(C26:C28)</f>
        <v>2</v>
      </c>
    </row>
    <row r="31" spans="1:7" x14ac:dyDescent="0.3">
      <c r="A31" s="7"/>
    </row>
    <row r="32" spans="1:7" x14ac:dyDescent="0.3">
      <c r="A32" s="32"/>
      <c r="B32" s="32"/>
      <c r="C32" s="32"/>
      <c r="D32" s="32"/>
      <c r="E32" s="32"/>
      <c r="F32" s="32"/>
      <c r="G32" s="32"/>
    </row>
    <row r="33" spans="1:7" x14ac:dyDescent="0.3">
      <c r="A33" s="32"/>
      <c r="B33" s="32"/>
      <c r="C33" s="32"/>
      <c r="D33" s="32"/>
      <c r="E33" s="32"/>
      <c r="F33" s="32"/>
      <c r="G33" s="32"/>
    </row>
    <row r="34" spans="1:7" x14ac:dyDescent="0.3">
      <c r="A34" s="32"/>
      <c r="B34" s="32"/>
      <c r="C34" s="32"/>
      <c r="D34" s="32"/>
      <c r="E34" s="32"/>
      <c r="F34" s="32"/>
      <c r="G34" s="32"/>
    </row>
    <row r="35" spans="1:7" x14ac:dyDescent="0.3">
      <c r="A35" s="32"/>
      <c r="B35" s="32"/>
      <c r="C35" s="32"/>
      <c r="D35" s="32"/>
      <c r="E35" s="32"/>
      <c r="F35" s="32"/>
      <c r="G35" s="32"/>
    </row>
    <row r="36" spans="1:7" x14ac:dyDescent="0.3">
      <c r="A36" s="32"/>
      <c r="B36" s="32"/>
      <c r="C36" s="32"/>
      <c r="D36" s="32"/>
      <c r="E36" s="32"/>
      <c r="F36" s="32"/>
      <c r="G36" s="32"/>
    </row>
    <row r="37" spans="1:7" x14ac:dyDescent="0.3">
      <c r="A37" s="32"/>
      <c r="B37" s="32"/>
      <c r="C37" s="32"/>
      <c r="D37" s="32"/>
      <c r="E37" s="32"/>
      <c r="F37" s="32"/>
      <c r="G37" s="32"/>
    </row>
    <row r="38" spans="1:7" x14ac:dyDescent="0.3">
      <c r="A38" s="32"/>
      <c r="B38" s="32"/>
      <c r="C38" s="32"/>
      <c r="D38" s="32"/>
      <c r="E38" s="32"/>
      <c r="F38" s="32"/>
      <c r="G38" s="32"/>
    </row>
  </sheetData>
  <mergeCells count="17">
    <mergeCell ref="A1:G1"/>
    <mergeCell ref="A2:G2"/>
    <mergeCell ref="B4:E4"/>
    <mergeCell ref="B5:E5"/>
    <mergeCell ref="B6:E6"/>
    <mergeCell ref="B7:E7"/>
    <mergeCell ref="B8:E8"/>
    <mergeCell ref="A16:B16"/>
    <mergeCell ref="A17:B17"/>
    <mergeCell ref="A19:B19"/>
    <mergeCell ref="A37:G37"/>
    <mergeCell ref="A38:G38"/>
    <mergeCell ref="A32:G32"/>
    <mergeCell ref="A33:G33"/>
    <mergeCell ref="A34:G34"/>
    <mergeCell ref="A35:G35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2026-09-11T02:16:16Z</dcterms:modified>
  <dc:language>en-US</dc:language>
</cp:coreProperties>
</file>