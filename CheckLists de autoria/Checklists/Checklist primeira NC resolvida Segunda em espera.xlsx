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Engenharia-de-Software-4-periodo\Qualidade de Software\20260904\Checklists\"/>
    </mc:Choice>
  </mc:AlternateContent>
  <xr:revisionPtr revIDLastSave="0" documentId="13_ncr:1_{B6E21C74-51F9-4960-850E-514AF5A14A5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hecklist - Auditoria" sheetId="1" r:id="rId1"/>
    <sheet name="Resumo e Aderência" sheetId="2" r:id="rId2"/>
  </sheets>
  <definedNames>
    <definedName name="_xlnm.Print_Titles" localSheetId="0">'Checklist - Auditoria'!$1:$2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8" i="1" l="1"/>
  <c r="H24" i="1"/>
  <c r="H22" i="1"/>
  <c r="H21" i="1"/>
  <c r="H19" i="1"/>
  <c r="H18" i="1"/>
  <c r="H17" i="1"/>
  <c r="H16" i="1"/>
  <c r="H14" i="1"/>
  <c r="H13" i="1"/>
  <c r="H12" i="1"/>
  <c r="H11" i="1"/>
  <c r="H10" i="1"/>
  <c r="H8" i="1"/>
  <c r="H7" i="1"/>
  <c r="H6" i="1"/>
  <c r="H5" i="1"/>
  <c r="H4" i="1"/>
  <c r="C28" i="2"/>
  <c r="C27" i="2"/>
  <c r="C26" i="2"/>
  <c r="B14" i="2"/>
  <c r="B13" i="2"/>
  <c r="B12" i="2"/>
  <c r="B11" i="2"/>
  <c r="B10" i="2"/>
  <c r="C29" i="2" l="1"/>
  <c r="A17" i="2"/>
</calcChain>
</file>

<file path=xl/sharedStrings.xml><?xml version="1.0" encoding="utf-8"?>
<sst xmlns="http://schemas.openxmlformats.org/spreadsheetml/2006/main" count="104" uniqueCount="85">
  <si>
    <t>Avaliação de Processo e Produto - Auditoria de Qualidade</t>
  </si>
  <si>
    <t>Nº</t>
  </si>
  <si>
    <t>Descrição</t>
  </si>
  <si>
    <t>Resultado</t>
  </si>
  <si>
    <t>Data e hora da
Identificação da NC</t>
  </si>
  <si>
    <t>Responsável pela
resolução</t>
  </si>
  <si>
    <t>Classificação da NCF</t>
  </si>
  <si>
    <t>Ação corretiva indicada</t>
  </si>
  <si>
    <t>Data prevista de
resolução</t>
  </si>
  <si>
    <t>Data e hora da
conclusão da NC</t>
  </si>
  <si>
    <t>Status da NC</t>
  </si>
  <si>
    <t>Resumo da Avaliação e Cálculo de Aderência</t>
  </si>
  <si>
    <t>Checklist de Processo e Produto - Auditoria de Qualidade</t>
  </si>
  <si>
    <t>Nome do projeto avaliado:</t>
  </si>
  <si>
    <t>Relatório de Teste de Usabilidade do Sistema Web - iFood (+ Documentando_casos_de_teste.xlsx)</t>
  </si>
  <si>
    <t>Auditor de QA:</t>
  </si>
  <si>
    <t>Gustavo, André Gritten, Eduardo Blaszczak, Mateus</t>
  </si>
  <si>
    <t>Data da auditoria:</t>
  </si>
  <si>
    <t>Tempo total da auditoria:</t>
  </si>
  <si>
    <t>Descrição da avaliação:</t>
  </si>
  <si>
    <t>Equipe avaliada: Isabelle Ribeiro, Laura Neris, Gabriela Sartor, Pedro Brecher</t>
  </si>
  <si>
    <t>Nº de pontos de avaliação</t>
  </si>
  <si>
    <t>Nº Conforme</t>
  </si>
  <si>
    <t>Nº Não Conforme (NCF)</t>
  </si>
  <si>
    <t>Nº Não se Aplica</t>
  </si>
  <si>
    <t>Nº NC ainda abertas (não resolvidas)</t>
  </si>
  <si>
    <t>Aderência ao Processo:</t>
  </si>
  <si>
    <t>Faixa de Aderência</t>
  </si>
  <si>
    <t>0% - 60%</t>
  </si>
  <si>
    <t>Insatisfatório</t>
  </si>
  <si>
    <t>61% - 90%</t>
  </si>
  <si>
    <t>Parcialmente Satisfatório</t>
  </si>
  <si>
    <t>91% - 100%</t>
  </si>
  <si>
    <t>Satisfatório</t>
  </si>
  <si>
    <t>Classificação da NC</t>
  </si>
  <si>
    <t>Nº total de NCF</t>
  </si>
  <si>
    <t>Baixa</t>
  </si>
  <si>
    <t>Média</t>
  </si>
  <si>
    <t>Alta</t>
  </si>
  <si>
    <t>Total</t>
  </si>
  <si>
    <t>Legenda:</t>
  </si>
  <si>
    <t>• Preencha a coluna 'Resultado' com Conforme / Não Conforme / Não se Aplica para cada item da aba Checklist.</t>
  </si>
  <si>
    <t>• Para itens 'Não Conforme', registre responsável, classificação (Baixa/Média/Alta) e a data/hora de identificação da NC.</t>
  </si>
  <si>
    <t>• A 'Data prevista de resolução' é calculada automaticamente = Data de identificação + prazo (dias) definido na tabela ao lado.</t>
  </si>
  <si>
    <t>• O prazo (dias) de cada classificação é editável (células amarelas); ao alterar, todas as datas previstas recalculam sozinhas.</t>
  </si>
  <si>
    <t>• A conclusão da NC é registrada em 'Data e hora da conclusão da NC' e o 'Status da NC' deve ser atualizado até 'Resolvida' / 'Verificada' / 'Encerrada'.</t>
  </si>
  <si>
    <t>• Aderência = Nº Conforme / (Total de itens - Nº Não se Aplica).</t>
  </si>
  <si>
    <t>• Células com preenchimento amarelo são campos de entrada manual.</t>
  </si>
  <si>
    <t>O relatório descreve o sistema web escolhido, informando nome e finalidade?</t>
  </si>
  <si>
    <t>O contexto do projeto informa o endereço web e o público-alvo do sistema?</t>
  </si>
  <si>
    <t>A escolha do sistema para o teste de usabilidade foi justificada?</t>
  </si>
  <si>
    <t>Os objetivos específicos do teste de usabilidade foram descritos?</t>
  </si>
  <si>
    <t>Os objetivos destacam quais aspectos da qualidade do produto de software se pretende avaliar?</t>
  </si>
  <si>
    <t>1. Introdução</t>
  </si>
  <si>
    <t>2. Metodologia</t>
  </si>
  <si>
    <t>As tarefas definidas para os usuários participantes do teste foram apresentadas?</t>
  </si>
  <si>
    <t>Cada tarefa sinaliza a heurística de Nielsen aplicada?</t>
  </si>
  <si>
    <t>O quadro de planejamento foi preenchido com Heurística, Interface, Cenário (ação) e Testador para todas as tarefas?</t>
  </si>
  <si>
    <t>A técnica de caixa preta aplicada foi explicada, com sua relevância para o teste de usabilidade?</t>
  </si>
  <si>
    <t>As ferramentas e os recursos utilizados para registrar as observações durante o teste foram descritos (gravação de tela, anotações, software específico)?</t>
  </si>
  <si>
    <t>3. Execução do Teste</t>
  </si>
  <si>
    <t>O passo a passo de como os testes foram realizados foi apresentado?</t>
  </si>
  <si>
    <t>Os resultados foram relatados para cada tarefa executada pelos usuários?</t>
  </si>
  <si>
    <t>Foram incluídas imagens que evidenciam a execução dos testes?</t>
  </si>
  <si>
    <t>Os problemas encontrados foram destacados ou o objetivo do teste foi comprovado?</t>
  </si>
  <si>
    <t>4. Análise de Usabilidade</t>
  </si>
  <si>
    <t>Foi apresentada uma avaliação do sistema para cada uma das 10 heurísticas de Nielsen?</t>
  </si>
  <si>
    <t>Os problemas de usabilidade mais críticos foram apresentados e classificados quanto ao impacto na experiência do usuário (alta, média, baixa)?</t>
  </si>
  <si>
    <t>5. Conclusão e Recomendações</t>
  </si>
  <si>
    <t>6. Checklist do Processo e Referências</t>
  </si>
  <si>
    <t>A conclusão geral resume a avaliação da qualidade do sistema em termos de usabilidade?</t>
  </si>
  <si>
    <t xml:space="preserve"> As recomendações de melhoria foram sugeridas com base nos problemas identificados?</t>
  </si>
  <si>
    <t>18.</t>
  </si>
  <si>
    <t>O checklist do processo de teste foi construído e aplicado contemplando planejamento, preparação, execução, análise e revisão, com identificação de quem aplicou e quem revisou?</t>
  </si>
  <si>
    <t>As referências utilizadas no planejamento e na análise foram listadas, incluindo materiais sobre heurísticas de Nielsen e técnicas de teste de usabilidade?</t>
  </si>
  <si>
    <t>Prazo de Resolução (minutos)</t>
  </si>
  <si>
    <t>Não Conforme</t>
  </si>
  <si>
    <t>Conforme</t>
  </si>
  <si>
    <t>A identificação de aplicador/revisor só aparece de forma explícita em 6.2 (visão geral), não em cada um dos Quadros 1 a 5 individualmente.</t>
  </si>
  <si>
    <t>Pedro Brecher</t>
  </si>
  <si>
    <t>Sinalizar o enderço web completo na introdução.</t>
  </si>
  <si>
    <t>Data e hora do
escalonamento</t>
  </si>
  <si>
    <t>Gabriela Sartor</t>
  </si>
  <si>
    <t>Aberta</t>
  </si>
  <si>
    <t>Resolvida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</si>
</sst>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3"/>
      <color rgb="FF1F4E78"/>
      <name val="Arial"/>
      <charset val="1"/>
    </font>
    <font>
      <b/>
      <sz val="20"/>
      <color rgb="FF1F4E78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CC0DA"/>
        <bgColor rgb="FFB7B7B7"/>
      </patternFill>
    </fill>
    <fill>
      <patternFill patternType="solid">
        <fgColor rgb="FFFFF2CC"/>
        <bgColor rgb="FFFFEB9C"/>
      </patternFill>
    </fill>
    <fill>
      <patternFill patternType="solid">
        <fgColor rgb="FF1F4E78"/>
        <bgColor rgb="FF003366"/>
      </patternFill>
    </fill>
    <fill>
      <patternFill patternType="solid">
        <fgColor rgb="FFFFC7CE"/>
        <bgColor rgb="FFCCC0DA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CCFFF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22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22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3" fillId="9" borderId="1" xfId="0" applyFont="1" applyFill="1" applyBorder="1" applyAlignment="1">
      <alignment horizontal="left" vertical="center"/>
    </xf>
    <xf numFmtId="0" fontId="0" fillId="10" borderId="0" xfId="0" applyFill="1"/>
    <xf numFmtId="0" fontId="10" fillId="9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4" fillId="4" borderId="2" xfId="0" applyFont="1" applyFill="1" applyBorder="1" applyAlignment="1">
      <alignment horizontal="left" vertical="center" wrapText="1"/>
    </xf>
    <xf numFmtId="14" fontId="4" fillId="4" borderId="2" xfId="0" applyNumberFormat="1" applyFont="1" applyFill="1" applyBorder="1" applyAlignment="1">
      <alignment horizontal="left" vertical="center" wrapText="1"/>
    </xf>
    <xf numFmtId="0" fontId="7" fillId="0" borderId="0" xfId="0" applyFont="1"/>
    <xf numFmtId="164" fontId="8" fillId="0" borderId="1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9" fillId="0" borderId="0" xfId="0" applyFont="1"/>
    <xf numFmtId="0" fontId="10" fillId="9" borderId="1" xfId="0" applyFont="1" applyFill="1" applyBorder="1" applyAlignment="1">
      <alignment horizontal="left" vertical="center" wrapText="1"/>
    </xf>
    <xf numFmtId="49" fontId="10" fillId="0" borderId="1" xfId="0" applyNumberFormat="1" applyFont="1" applyBorder="1" applyAlignment="1">
      <alignment vertical="top" wrapText="1"/>
    </xf>
    <xf numFmtId="22" fontId="11" fillId="0" borderId="0" xfId="0" applyNumberFormat="1" applyFont="1" applyAlignment="1">
      <alignment vertical="top"/>
    </xf>
    <xf numFmtId="0" fontId="12" fillId="2" borderId="1" xfId="0" applyFont="1" applyFill="1" applyBorder="1" applyAlignment="1">
      <alignment horizontal="center" vertical="center" wrapText="1"/>
    </xf>
    <xf numFmtId="22" fontId="10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FC2BDE-FBFE-4269-B0AB-B68FB000A65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07409ea-3d23-4445-bae3-6647c824bbb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showGridLines="0" tabSelected="1" topLeftCell="B1" zoomScale="85" zoomScaleNormal="85" workbookViewId="0">
      <pane ySplit="2" topLeftCell="A3" activePane="bottomLeft" state="frozen"/>
      <selection pane="bottomLeft" activeCell="L6" sqref="L6"/>
    </sheetView>
  </sheetViews>
  <sheetFormatPr defaultColWidth="8.6640625" defaultRowHeight="14.4" x14ac:dyDescent="0.3"/>
  <cols>
    <col min="1" max="1" width="5" customWidth="1"/>
    <col min="2" max="2" width="159.109375" bestFit="1" customWidth="1"/>
    <col min="3" max="3" width="14" customWidth="1"/>
    <col min="4" max="4" width="16" customWidth="1"/>
    <col min="5" max="6" width="18" customWidth="1"/>
    <col min="7" max="7" width="26" customWidth="1"/>
    <col min="8" max="8" width="15.6640625" bestFit="1" customWidth="1"/>
    <col min="9" max="9" width="15.6640625" customWidth="1"/>
    <col min="10" max="11" width="16" customWidth="1"/>
  </cols>
  <sheetData>
    <row r="1" spans="1:11" ht="25.5" customHeight="1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48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40" t="s">
        <v>81</v>
      </c>
      <c r="J2" s="2" t="s">
        <v>9</v>
      </c>
      <c r="K2" s="2" t="s">
        <v>10</v>
      </c>
    </row>
    <row r="3" spans="1:11" ht="20.25" customHeight="1" x14ac:dyDescent="0.3">
      <c r="A3" s="28" t="s">
        <v>53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27.75" customHeight="1" x14ac:dyDescent="0.3">
      <c r="A4" s="3">
        <v>1</v>
      </c>
      <c r="B4" s="4" t="s">
        <v>48</v>
      </c>
      <c r="C4" s="4" t="s">
        <v>77</v>
      </c>
      <c r="D4" s="5"/>
      <c r="E4" s="6"/>
      <c r="F4" s="4"/>
      <c r="G4" s="6"/>
      <c r="H4" s="5" t="str">
        <f>IF(OR($C4&lt;&gt;"Não Conforme",$F4="",$D4=""),"",$D4+INDEX('Resumo e Aderência'!$B$26:$B$28,MATCH($F4,'Resumo e Aderência'!$A$26:$A$28,0))/1440)</f>
        <v/>
      </c>
      <c r="I4" s="5"/>
      <c r="J4" s="5"/>
      <c r="K4" s="4"/>
    </row>
    <row r="5" spans="1:11" ht="27.75" customHeight="1" x14ac:dyDescent="0.3">
      <c r="A5" s="3">
        <v>2</v>
      </c>
      <c r="B5" s="4" t="s">
        <v>49</v>
      </c>
      <c r="C5" s="4" t="s">
        <v>76</v>
      </c>
      <c r="D5" s="39">
        <v>46269.370138888888</v>
      </c>
      <c r="E5" s="38" t="s">
        <v>79</v>
      </c>
      <c r="F5" s="4" t="s">
        <v>36</v>
      </c>
      <c r="G5" s="38" t="s">
        <v>80</v>
      </c>
      <c r="H5" s="5">
        <f>IF(OR($C5&lt;&gt;"Não Conforme",$F5="",$D5=""),"",$D5+INDEX('Resumo e Aderência'!$B$26:$B$28,MATCH($F5,'Resumo e Aderência'!$A$26:$A$28,0))/1440)</f>
        <v>46269.432638888888</v>
      </c>
      <c r="I5" s="5"/>
      <c r="J5" s="5">
        <v>46269.381944444445</v>
      </c>
      <c r="K5" s="4" t="s">
        <v>84</v>
      </c>
    </row>
    <row r="6" spans="1:11" ht="27.75" customHeight="1" x14ac:dyDescent="0.3">
      <c r="A6" s="3">
        <v>3</v>
      </c>
      <c r="B6" s="4" t="s">
        <v>50</v>
      </c>
      <c r="C6" s="4" t="s">
        <v>77</v>
      </c>
      <c r="D6" s="5"/>
      <c r="E6" s="6"/>
      <c r="F6" s="4"/>
      <c r="G6" s="6"/>
      <c r="H6" s="5" t="str">
        <f>IF(OR($C6&lt;&gt;"Não Conforme",$F6="",$D6=""),"",$D6+INDEX('Resumo e Aderência'!$B$26:$B$28,MATCH($F6,'Resumo e Aderência'!$A$26:$A$28,0))/1440)</f>
        <v/>
      </c>
      <c r="I6" s="5"/>
      <c r="J6" s="5"/>
      <c r="K6" s="4"/>
    </row>
    <row r="7" spans="1:11" ht="27.75" customHeight="1" x14ac:dyDescent="0.3">
      <c r="A7" s="3">
        <v>4</v>
      </c>
      <c r="B7" s="4" t="s">
        <v>51</v>
      </c>
      <c r="C7" s="4" t="s">
        <v>77</v>
      </c>
      <c r="D7" s="5"/>
      <c r="E7" s="6"/>
      <c r="F7" s="4"/>
      <c r="G7" s="6"/>
      <c r="H7" s="5" t="str">
        <f>IF(OR($C7&lt;&gt;"Não Conforme",$F7="",$D7=""),"",$D7+INDEX('Resumo e Aderência'!$B$26:$B$28,MATCH($F7,'Resumo e Aderência'!$A$26:$A$28,0))/1440)</f>
        <v/>
      </c>
      <c r="I7" s="5"/>
      <c r="J7" s="5"/>
      <c r="K7" s="4"/>
    </row>
    <row r="8" spans="1:11" ht="27.75" customHeight="1" x14ac:dyDescent="0.3">
      <c r="A8" s="3">
        <v>5</v>
      </c>
      <c r="B8" s="4" t="s">
        <v>52</v>
      </c>
      <c r="C8" s="4" t="s">
        <v>77</v>
      </c>
      <c r="D8" s="5"/>
      <c r="E8" s="6"/>
      <c r="F8" s="4"/>
      <c r="G8" s="6"/>
      <c r="H8" s="5" t="str">
        <f>IF(OR($C8&lt;&gt;"Não Conforme",$F8="",$D8=""),"",$D8+INDEX('Resumo e Aderência'!$B$26:$B$28,MATCH($F8,'Resumo e Aderência'!$A$26:$A$28,0))/1440)</f>
        <v/>
      </c>
      <c r="I8" s="5"/>
      <c r="J8" s="5"/>
      <c r="K8" s="4"/>
    </row>
    <row r="9" spans="1:11" ht="20.25" customHeight="1" x14ac:dyDescent="0.3">
      <c r="A9" s="28" t="s">
        <v>54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spans="1:11" ht="27.75" customHeight="1" x14ac:dyDescent="0.3">
      <c r="A10" s="3">
        <v>6</v>
      </c>
      <c r="B10" s="4" t="s">
        <v>55</v>
      </c>
      <c r="C10" s="4" t="s">
        <v>77</v>
      </c>
      <c r="D10" s="5"/>
      <c r="E10" s="6"/>
      <c r="F10" s="4"/>
      <c r="G10" s="6"/>
      <c r="H10" s="5" t="str">
        <f>IF(OR($C10&lt;&gt;"Não Conforme",$F10="",$D10=""),"",$D10+INDEX('Resumo e Aderência'!$B$26:$B$28,MATCH($F10,'Resumo e Aderência'!$A$26:$A$28,0))/1440)</f>
        <v/>
      </c>
      <c r="I10" s="5"/>
      <c r="J10" s="5"/>
      <c r="K10" s="4"/>
    </row>
    <row r="11" spans="1:11" ht="27.75" customHeight="1" x14ac:dyDescent="0.3">
      <c r="A11" s="3">
        <v>7</v>
      </c>
      <c r="B11" s="4" t="s">
        <v>56</v>
      </c>
      <c r="C11" s="4" t="s">
        <v>77</v>
      </c>
      <c r="D11" s="5"/>
      <c r="E11" s="6"/>
      <c r="F11" s="4"/>
      <c r="G11" s="6"/>
      <c r="H11" s="5" t="str">
        <f>IF(OR($C11&lt;&gt;"Não Conforme",$F11="",$D11=""),"",$D11+INDEX('Resumo e Aderência'!$B$26:$B$28,MATCH($F11,'Resumo e Aderência'!$A$26:$A$28,0))/1440)</f>
        <v/>
      </c>
      <c r="I11" s="5"/>
      <c r="J11" s="5"/>
      <c r="K11" s="4"/>
    </row>
    <row r="12" spans="1:11" ht="27.75" customHeight="1" x14ac:dyDescent="0.3">
      <c r="A12" s="3">
        <v>8</v>
      </c>
      <c r="B12" s="4" t="s">
        <v>57</v>
      </c>
      <c r="C12" s="4" t="s">
        <v>77</v>
      </c>
      <c r="D12" s="5"/>
      <c r="E12" s="6"/>
      <c r="F12" s="4"/>
      <c r="G12" s="6"/>
      <c r="H12" s="5" t="str">
        <f>IF(OR($C12&lt;&gt;"Não Conforme",$F12="",$D12=""),"",$D12+INDEX('Resumo e Aderência'!$B$26:$B$28,MATCH($F12,'Resumo e Aderência'!$A$26:$A$28,0))/1440)</f>
        <v/>
      </c>
      <c r="I12" s="5"/>
      <c r="J12" s="5"/>
      <c r="K12" s="4"/>
    </row>
    <row r="13" spans="1:11" ht="27.75" customHeight="1" x14ac:dyDescent="0.3">
      <c r="A13" s="3">
        <v>9</v>
      </c>
      <c r="B13" s="4" t="s">
        <v>58</v>
      </c>
      <c r="C13" s="4" t="s">
        <v>77</v>
      </c>
      <c r="D13" s="5"/>
      <c r="E13" s="6"/>
      <c r="F13" s="4"/>
      <c r="G13" s="6"/>
      <c r="H13" s="5" t="str">
        <f>IF(OR($C13&lt;&gt;"Não Conforme",$F13="",$D13=""),"",$D13+INDEX('Resumo e Aderência'!$B$26:$B$28,MATCH($F13,'Resumo e Aderência'!$A$26:$A$28,0))/1440)</f>
        <v/>
      </c>
      <c r="I13" s="5"/>
      <c r="J13" s="5"/>
      <c r="K13" s="4"/>
    </row>
    <row r="14" spans="1:11" ht="27.75" customHeight="1" x14ac:dyDescent="0.3">
      <c r="A14" s="3">
        <v>10</v>
      </c>
      <c r="B14" s="4" t="s">
        <v>59</v>
      </c>
      <c r="C14" s="4" t="s">
        <v>77</v>
      </c>
      <c r="D14" s="5"/>
      <c r="E14" s="6"/>
      <c r="F14" s="4"/>
      <c r="G14" s="6"/>
      <c r="H14" s="5" t="str">
        <f>IF(OR($C14&lt;&gt;"Não Conforme",$F14="",$D14=""),"",$D14+INDEX('Resumo e Aderência'!$B$26:$B$28,MATCH($F14,'Resumo e Aderência'!$A$26:$A$28,0))/1440)</f>
        <v/>
      </c>
      <c r="I14" s="5"/>
      <c r="J14" s="5"/>
      <c r="K14" s="4"/>
    </row>
    <row r="15" spans="1:11" ht="20.25" customHeight="1" x14ac:dyDescent="0.3">
      <c r="A15" s="28" t="s">
        <v>60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11" ht="27.75" customHeight="1" x14ac:dyDescent="0.3">
      <c r="A16" s="3">
        <v>11</v>
      </c>
      <c r="B16" s="4" t="s">
        <v>61</v>
      </c>
      <c r="C16" s="4" t="s">
        <v>77</v>
      </c>
      <c r="D16" s="5"/>
      <c r="E16" s="6"/>
      <c r="F16" s="4"/>
      <c r="G16" s="6"/>
      <c r="H16" s="5" t="str">
        <f>IF(OR($C16&lt;&gt;"Não Conforme",$F16="",$D16=""),"",$D16+INDEX('Resumo e Aderência'!$B$26:$B$28,MATCH($F16,'Resumo e Aderência'!$A$26:$A$28,0))/1440)</f>
        <v/>
      </c>
      <c r="I16" s="5"/>
      <c r="J16" s="5"/>
      <c r="K16" s="4"/>
    </row>
    <row r="17" spans="1:11" ht="27.75" customHeight="1" x14ac:dyDescent="0.3">
      <c r="A17" s="3">
        <v>12</v>
      </c>
      <c r="B17" s="4" t="s">
        <v>62</v>
      </c>
      <c r="C17" s="4" t="s">
        <v>77</v>
      </c>
      <c r="D17" s="5"/>
      <c r="E17" s="6"/>
      <c r="F17" s="4"/>
      <c r="G17" s="6"/>
      <c r="H17" s="5" t="str">
        <f>IF(OR($C17&lt;&gt;"Não Conforme",$F17="",$D17=""),"",$D17+INDEX('Resumo e Aderência'!$B$26:$B$28,MATCH($F17,'Resumo e Aderência'!$A$26:$A$28,0))/1440)</f>
        <v/>
      </c>
      <c r="I17" s="5"/>
      <c r="J17" s="5"/>
      <c r="K17" s="4"/>
    </row>
    <row r="18" spans="1:11" ht="27.75" customHeight="1" x14ac:dyDescent="0.3">
      <c r="A18" s="3">
        <v>13</v>
      </c>
      <c r="B18" s="4" t="s">
        <v>63</v>
      </c>
      <c r="C18" s="4" t="s">
        <v>77</v>
      </c>
      <c r="D18" s="5"/>
      <c r="E18" s="6"/>
      <c r="F18" s="4"/>
      <c r="G18" s="6"/>
      <c r="H18" s="5" t="str">
        <f>IF(OR($C18&lt;&gt;"Não Conforme",$F18="",$D18=""),"",$D18+INDEX('Resumo e Aderência'!$B$26:$B$28,MATCH($F18,'Resumo e Aderência'!$A$26:$A$28,0))/1440)</f>
        <v/>
      </c>
      <c r="I18" s="5"/>
      <c r="J18" s="5"/>
      <c r="K18" s="4"/>
    </row>
    <row r="19" spans="1:11" ht="27.75" customHeight="1" x14ac:dyDescent="0.3">
      <c r="A19" s="3">
        <v>14</v>
      </c>
      <c r="B19" s="4" t="s">
        <v>64</v>
      </c>
      <c r="C19" s="4" t="s">
        <v>77</v>
      </c>
      <c r="D19" s="5"/>
      <c r="E19" s="6"/>
      <c r="F19" s="4"/>
      <c r="G19" s="6"/>
      <c r="H19" s="5" t="str">
        <f>IF(OR($C19&lt;&gt;"Não Conforme",$F19="",$D19=""),"",$D19+INDEX('Resumo e Aderência'!$B$26:$B$28,MATCH($F19,'Resumo e Aderência'!$A$26:$A$28,0))/1440)</f>
        <v/>
      </c>
      <c r="I19" s="5"/>
      <c r="J19" s="5"/>
      <c r="K19" s="4"/>
    </row>
    <row r="20" spans="1:11" ht="20.25" customHeight="1" x14ac:dyDescent="0.3">
      <c r="A20" s="1" t="s">
        <v>65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7.75" customHeight="1" x14ac:dyDescent="0.3">
      <c r="A21" s="3">
        <v>15</v>
      </c>
      <c r="B21" s="4" t="s">
        <v>66</v>
      </c>
      <c r="C21" s="4" t="s">
        <v>77</v>
      </c>
      <c r="D21" s="5"/>
      <c r="E21" s="6"/>
      <c r="F21" s="4"/>
      <c r="G21" s="6"/>
      <c r="H21" s="5" t="str">
        <f>IF(OR($C21&lt;&gt;"Não Conforme",$F21="",$D21=""),"",$D21+INDEX('Resumo e Aderência'!$B$26:$B$28,MATCH($F21,'Resumo e Aderência'!$A$26:$A$28,0))/1440)</f>
        <v/>
      </c>
      <c r="I21" s="5"/>
      <c r="J21" s="5"/>
      <c r="K21" s="4"/>
    </row>
    <row r="22" spans="1:11" ht="27.75" customHeight="1" x14ac:dyDescent="0.3">
      <c r="A22" s="3">
        <v>16</v>
      </c>
      <c r="B22" s="4" t="s">
        <v>67</v>
      </c>
      <c r="C22" s="4" t="s">
        <v>77</v>
      </c>
      <c r="D22" s="5"/>
      <c r="E22" s="6"/>
      <c r="F22" s="4"/>
      <c r="G22" s="6"/>
      <c r="H22" s="5" t="str">
        <f>IF(OR($C22&lt;&gt;"Não Conforme",$F22="",$D22=""),"",$D22+INDEX('Resumo e Aderência'!$B$26:$B$28,MATCH($F22,'Resumo e Aderência'!$A$26:$A$28,0))/1440)</f>
        <v/>
      </c>
      <c r="I22" s="5"/>
      <c r="J22" s="5"/>
      <c r="K22" s="4"/>
    </row>
    <row r="23" spans="1:11" ht="20.25" customHeight="1" x14ac:dyDescent="0.3">
      <c r="A23" s="1" t="s">
        <v>68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7.75" customHeight="1" x14ac:dyDescent="0.3">
      <c r="A24" s="3">
        <v>17</v>
      </c>
      <c r="B24" s="4" t="s">
        <v>70</v>
      </c>
      <c r="C24" s="4" t="s">
        <v>77</v>
      </c>
      <c r="D24" s="5"/>
      <c r="E24" s="6"/>
      <c r="F24" s="4"/>
      <c r="G24" s="6"/>
      <c r="H24" s="5" t="str">
        <f>IF(OR($C24&lt;&gt;"Não Conforme",$F24="",$D24=""),"",$D24+INDEX('Resumo e Aderência'!$B$26:$B$28,MATCH($F24,'Resumo e Aderência'!$A$26:$A$28,0))/1440)</f>
        <v/>
      </c>
      <c r="I24" s="5"/>
      <c r="J24" s="5"/>
      <c r="K24" s="4"/>
    </row>
    <row r="25" spans="1:11" ht="27.75" customHeight="1" x14ac:dyDescent="0.3">
      <c r="A25" s="3" t="s">
        <v>72</v>
      </c>
      <c r="B25" s="19" t="s">
        <v>71</v>
      </c>
      <c r="C25" s="4" t="s">
        <v>77</v>
      </c>
      <c r="D25" s="5"/>
      <c r="E25" s="6"/>
      <c r="F25" s="4"/>
      <c r="G25" s="6"/>
      <c r="H25" s="5"/>
      <c r="I25" s="5"/>
      <c r="J25" s="5"/>
      <c r="K25" s="4"/>
    </row>
    <row r="26" spans="1:11" ht="20.25" customHeight="1" x14ac:dyDescent="0.3">
      <c r="A26" s="1" t="s">
        <v>69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s="25" customFormat="1" ht="79.2" x14ac:dyDescent="0.3">
      <c r="A27" s="24">
        <v>19</v>
      </c>
      <c r="B27" t="s">
        <v>73</v>
      </c>
      <c r="C27" s="26" t="s">
        <v>76</v>
      </c>
      <c r="D27" s="41">
        <v>46269.375</v>
      </c>
      <c r="E27" s="26" t="s">
        <v>82</v>
      </c>
      <c r="F27" s="26" t="s">
        <v>37</v>
      </c>
      <c r="G27" s="37" t="s">
        <v>78</v>
      </c>
      <c r="H27" s="41">
        <v>46269.416666666664</v>
      </c>
      <c r="I27" s="24"/>
      <c r="J27" s="24"/>
      <c r="K27" s="26" t="s">
        <v>83</v>
      </c>
    </row>
    <row r="28" spans="1:11" ht="27.75" customHeight="1" x14ac:dyDescent="0.3">
      <c r="A28" s="3">
        <v>20</v>
      </c>
      <c r="B28" s="4" t="s">
        <v>74</v>
      </c>
      <c r="C28" s="4"/>
      <c r="D28" s="5"/>
      <c r="E28" s="6"/>
      <c r="F28" s="4"/>
      <c r="G28" s="6"/>
      <c r="H28" s="5" t="str">
        <f>IF(OR($C28&lt;&gt;"Não Conforme",$F28="",$D28=""),"",$D28+INDEX('Resumo e Aderência'!$B$26:$B$28,MATCH($F28,'Resumo e Aderência'!$A$26:$A$28,0))/1440)</f>
        <v/>
      </c>
      <c r="I28" s="5"/>
      <c r="J28" s="5"/>
      <c r="K28" s="4"/>
    </row>
    <row r="29" spans="1:11" ht="27.75" customHeight="1" x14ac:dyDescent="0.3">
      <c r="A29" s="20"/>
      <c r="B29" s="21"/>
      <c r="C29" s="21"/>
      <c r="D29" s="22"/>
      <c r="E29" s="23"/>
      <c r="F29" s="21"/>
      <c r="G29" s="23"/>
      <c r="H29" s="22"/>
      <c r="I29" s="22"/>
      <c r="J29" s="22"/>
      <c r="K29" s="21"/>
    </row>
  </sheetData>
  <mergeCells count="4">
    <mergeCell ref="A1:K1"/>
    <mergeCell ref="A3:K3"/>
    <mergeCell ref="A9:K9"/>
    <mergeCell ref="A15:K15"/>
  </mergeCells>
  <dataValidations count="3">
    <dataValidation type="list" allowBlank="1" showErrorMessage="1" error="Selecione uma opção da lista." prompt="Selecione o resultado da verificação." sqref="C3:C29" xr:uid="{00000000-0002-0000-0000-000000000000}">
      <formula1>"Conforme,Não Conforme,Não se Aplica"</formula1>
      <formula2>0</formula2>
    </dataValidation>
    <dataValidation type="list" allowBlank="1" showErrorMessage="1" error="Selecione uma classificação válida (Baixa, Média ou Alta)." prompt="Selecione a classificação da NC. O prazo de resolução é calculado automaticamente." sqref="F3:F29" xr:uid="{00000000-0002-0000-0000-000001000000}">
      <formula1>"Baixa,Média,Alta"</formula1>
      <formula2>0</formula2>
    </dataValidation>
    <dataValidation type="list" allowBlank="1" showErrorMessage="1" error="Selecione uma opção da lista." prompt="Selecione o status da não conformidade." sqref="K3:K29" xr:uid="{00000000-0002-0000-0000-000002000000}">
      <formula1>"Aberta,Em Resolução,Escalonada,Resolvida,Verificada,Encerrada"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showGridLines="0" topLeftCell="A13" zoomScaleNormal="100" workbookViewId="0">
      <selection sqref="A1:G1"/>
    </sheetView>
  </sheetViews>
  <sheetFormatPr defaultColWidth="8.6640625" defaultRowHeight="14.4" x14ac:dyDescent="0.3"/>
  <cols>
    <col min="1" max="1" width="35.44140625" customWidth="1"/>
    <col min="2" max="2" width="24" customWidth="1"/>
    <col min="3" max="3" width="14" customWidth="1"/>
    <col min="4" max="4" width="4" customWidth="1"/>
    <col min="5" max="5" width="24" customWidth="1"/>
    <col min="6" max="6" width="14" customWidth="1"/>
    <col min="7" max="7" width="16" customWidth="1"/>
  </cols>
  <sheetData>
    <row r="1" spans="1:7" ht="25.5" customHeight="1" x14ac:dyDescent="0.3">
      <c r="A1" s="29" t="s">
        <v>11</v>
      </c>
      <c r="B1" s="29"/>
      <c r="C1" s="29"/>
      <c r="D1" s="29"/>
      <c r="E1" s="29"/>
      <c r="F1" s="29"/>
      <c r="G1" s="29"/>
    </row>
    <row r="2" spans="1:7" x14ac:dyDescent="0.3">
      <c r="A2" s="30" t="s">
        <v>12</v>
      </c>
      <c r="B2" s="30"/>
      <c r="C2" s="30"/>
      <c r="D2" s="30"/>
      <c r="E2" s="30"/>
      <c r="F2" s="30"/>
      <c r="G2" s="30"/>
    </row>
    <row r="4" spans="1:7" ht="30" customHeight="1" x14ac:dyDescent="0.3">
      <c r="A4" s="7" t="s">
        <v>13</v>
      </c>
      <c r="B4" s="31" t="s">
        <v>14</v>
      </c>
      <c r="C4" s="31"/>
      <c r="D4" s="31"/>
      <c r="E4" s="31"/>
    </row>
    <row r="5" spans="1:7" ht="18" customHeight="1" x14ac:dyDescent="0.3">
      <c r="A5" s="7" t="s">
        <v>15</v>
      </c>
      <c r="B5" s="31" t="s">
        <v>16</v>
      </c>
      <c r="C5" s="31"/>
      <c r="D5" s="31"/>
      <c r="E5" s="31"/>
    </row>
    <row r="6" spans="1:7" ht="18" customHeight="1" x14ac:dyDescent="0.3">
      <c r="A6" s="7" t="s">
        <v>17</v>
      </c>
      <c r="B6" s="32">
        <v>46269</v>
      </c>
      <c r="C6" s="32"/>
      <c r="D6" s="32"/>
      <c r="E6" s="32"/>
    </row>
    <row r="7" spans="1:7" ht="18" customHeight="1" x14ac:dyDescent="0.3">
      <c r="A7" s="7" t="s">
        <v>18</v>
      </c>
      <c r="B7" s="31"/>
      <c r="C7" s="31"/>
      <c r="D7" s="31"/>
      <c r="E7" s="31"/>
    </row>
    <row r="8" spans="1:7" ht="30" customHeight="1" x14ac:dyDescent="0.3">
      <c r="A8" s="7" t="s">
        <v>19</v>
      </c>
      <c r="B8" s="31" t="s">
        <v>20</v>
      </c>
      <c r="C8" s="31"/>
      <c r="D8" s="31"/>
      <c r="E8" s="31"/>
    </row>
    <row r="10" spans="1:7" ht="18" customHeight="1" x14ac:dyDescent="0.3">
      <c r="A10" s="7" t="s">
        <v>21</v>
      </c>
      <c r="B10" s="8">
        <f>COUNTA('Checklist - Auditoria'!$B$3:$B$22)</f>
        <v>16</v>
      </c>
    </row>
    <row r="11" spans="1:7" ht="18" customHeight="1" x14ac:dyDescent="0.3">
      <c r="A11" s="7" t="s">
        <v>22</v>
      </c>
      <c r="B11" s="8">
        <f>COUNTIF('Checklist - Auditoria'!$C$3:$C$22,"Conforme")</f>
        <v>15</v>
      </c>
    </row>
    <row r="12" spans="1:7" ht="18" customHeight="1" x14ac:dyDescent="0.3">
      <c r="A12" s="7" t="s">
        <v>23</v>
      </c>
      <c r="B12" s="8">
        <f>COUNTIF('Checklist - Auditoria'!$C$3:$C$22,"Não Conforme")</f>
        <v>1</v>
      </c>
    </row>
    <row r="13" spans="1:7" ht="18" customHeight="1" x14ac:dyDescent="0.3">
      <c r="A13" s="7" t="s">
        <v>24</v>
      </c>
      <c r="B13" s="8">
        <f>COUNTIF('Checklist - Auditoria'!$C$3:$C$22,"Não se Aplica")</f>
        <v>0</v>
      </c>
    </row>
    <row r="14" spans="1:7" ht="18" customHeight="1" x14ac:dyDescent="0.3">
      <c r="A14" s="7" t="s">
        <v>25</v>
      </c>
      <c r="B14" s="8">
        <f>COUNTIFS('Checklist - Auditoria'!$C$3:$C$22,"Não Conforme",'Checklist - Auditoria'!$K$3:$K$22,"&lt;&gt;Resolvida",'Checklist - Auditoria'!$K$3:$K$22,"&lt;&gt;Verificada",'Checklist - Auditoria'!$K$3:$K$22,"&lt;&gt;Encerrada")</f>
        <v>0</v>
      </c>
    </row>
    <row r="16" spans="1:7" ht="16.5" customHeight="1" x14ac:dyDescent="0.3">
      <c r="A16" s="33" t="s">
        <v>26</v>
      </c>
      <c r="B16" s="33"/>
    </row>
    <row r="17" spans="1:7" ht="30" customHeight="1" x14ac:dyDescent="0.3">
      <c r="A17" s="34">
        <f>IFERROR(B11/(B10-B13),0)</f>
        <v>0.9375</v>
      </c>
      <c r="B17" s="34"/>
    </row>
    <row r="19" spans="1:7" x14ac:dyDescent="0.3">
      <c r="A19" s="35" t="s">
        <v>27</v>
      </c>
      <c r="B19" s="35"/>
    </row>
    <row r="20" spans="1:7" x14ac:dyDescent="0.3">
      <c r="A20" s="9" t="s">
        <v>28</v>
      </c>
      <c r="B20" s="9" t="s">
        <v>29</v>
      </c>
    </row>
    <row r="21" spans="1:7" x14ac:dyDescent="0.3">
      <c r="A21" s="10" t="s">
        <v>30</v>
      </c>
      <c r="B21" s="10" t="s">
        <v>31</v>
      </c>
    </row>
    <row r="22" spans="1:7" x14ac:dyDescent="0.3">
      <c r="A22" s="11" t="s">
        <v>32</v>
      </c>
      <c r="B22" s="11" t="s">
        <v>33</v>
      </c>
    </row>
    <row r="25" spans="1:7" ht="27.75" customHeight="1" x14ac:dyDescent="0.3">
      <c r="A25" s="12" t="s">
        <v>34</v>
      </c>
      <c r="B25" s="12" t="s">
        <v>75</v>
      </c>
      <c r="C25" s="12" t="s">
        <v>35</v>
      </c>
    </row>
    <row r="26" spans="1:7" x14ac:dyDescent="0.3">
      <c r="A26" s="13" t="s">
        <v>36</v>
      </c>
      <c r="B26" s="14">
        <v>90</v>
      </c>
      <c r="C26" s="15">
        <f>COUNTIF('Checklist - Auditoria'!$F$3:$F$22,"Baixa")</f>
        <v>1</v>
      </c>
    </row>
    <row r="27" spans="1:7" x14ac:dyDescent="0.3">
      <c r="A27" s="13" t="s">
        <v>37</v>
      </c>
      <c r="B27" s="14">
        <v>60</v>
      </c>
      <c r="C27" s="15">
        <f>COUNTIF('Checklist - Auditoria'!$F$3:$F$22,"Média")</f>
        <v>0</v>
      </c>
    </row>
    <row r="28" spans="1:7" x14ac:dyDescent="0.3">
      <c r="A28" s="13" t="s">
        <v>38</v>
      </c>
      <c r="B28" s="14">
        <v>30</v>
      </c>
      <c r="C28" s="15">
        <f>COUNTIF('Checklist - Auditoria'!$F$3:$F$22,"Alta")</f>
        <v>0</v>
      </c>
    </row>
    <row r="29" spans="1:7" x14ac:dyDescent="0.3">
      <c r="A29" s="16" t="s">
        <v>39</v>
      </c>
      <c r="B29" s="17"/>
      <c r="C29" s="18">
        <f>SUM(C26:C28)</f>
        <v>1</v>
      </c>
    </row>
    <row r="31" spans="1:7" x14ac:dyDescent="0.3">
      <c r="A31" s="7" t="s">
        <v>40</v>
      </c>
    </row>
    <row r="32" spans="1:7" x14ac:dyDescent="0.3">
      <c r="A32" s="36" t="s">
        <v>41</v>
      </c>
      <c r="B32" s="36"/>
      <c r="C32" s="36"/>
      <c r="D32" s="36"/>
      <c r="E32" s="36"/>
      <c r="F32" s="36"/>
      <c r="G32" s="36"/>
    </row>
    <row r="33" spans="1:7" x14ac:dyDescent="0.3">
      <c r="A33" s="36" t="s">
        <v>42</v>
      </c>
      <c r="B33" s="36"/>
      <c r="C33" s="36"/>
      <c r="D33" s="36"/>
      <c r="E33" s="36"/>
      <c r="F33" s="36"/>
      <c r="G33" s="36"/>
    </row>
    <row r="34" spans="1:7" x14ac:dyDescent="0.3">
      <c r="A34" s="36" t="s">
        <v>43</v>
      </c>
      <c r="B34" s="36"/>
      <c r="C34" s="36"/>
      <c r="D34" s="36"/>
      <c r="E34" s="36"/>
      <c r="F34" s="36"/>
      <c r="G34" s="36"/>
    </row>
    <row r="35" spans="1:7" x14ac:dyDescent="0.3">
      <c r="A35" s="36" t="s">
        <v>44</v>
      </c>
      <c r="B35" s="36"/>
      <c r="C35" s="36"/>
      <c r="D35" s="36"/>
      <c r="E35" s="36"/>
      <c r="F35" s="36"/>
      <c r="G35" s="36"/>
    </row>
    <row r="36" spans="1:7" x14ac:dyDescent="0.3">
      <c r="A36" s="36" t="s">
        <v>45</v>
      </c>
      <c r="B36" s="36"/>
      <c r="C36" s="36"/>
      <c r="D36" s="36"/>
      <c r="E36" s="36"/>
      <c r="F36" s="36"/>
      <c r="G36" s="36"/>
    </row>
    <row r="37" spans="1:7" x14ac:dyDescent="0.3">
      <c r="A37" s="36" t="s">
        <v>46</v>
      </c>
      <c r="B37" s="36"/>
      <c r="C37" s="36"/>
      <c r="D37" s="36"/>
      <c r="E37" s="36"/>
      <c r="F37" s="36"/>
      <c r="G37" s="36"/>
    </row>
    <row r="38" spans="1:7" x14ac:dyDescent="0.3">
      <c r="A38" s="36" t="s">
        <v>47</v>
      </c>
      <c r="B38" s="36"/>
      <c r="C38" s="36"/>
      <c r="D38" s="36"/>
      <c r="E38" s="36"/>
      <c r="F38" s="36"/>
      <c r="G38" s="36"/>
    </row>
  </sheetData>
  <mergeCells count="17">
    <mergeCell ref="A37:G37"/>
    <mergeCell ref="A38:G38"/>
    <mergeCell ref="A32:G32"/>
    <mergeCell ref="A33:G33"/>
    <mergeCell ref="A34:G34"/>
    <mergeCell ref="A35:G35"/>
    <mergeCell ref="A36:G36"/>
    <mergeCell ref="B7:E7"/>
    <mergeCell ref="B8:E8"/>
    <mergeCell ref="A16:B16"/>
    <mergeCell ref="A17:B17"/>
    <mergeCell ref="A19:B19"/>
    <mergeCell ref="A1:G1"/>
    <mergeCell ref="A2:G2"/>
    <mergeCell ref="B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Checklist - Auditoria</vt:lpstr>
      <vt:lpstr>Resumo e Aderência</vt:lpstr>
      <vt:lpstr>'Checklist - Auditoria'!Titulos_de_impressao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 Gritten</cp:lastModifiedBy>
  <cp:revision>0</cp:revision>
  <dcterms:created xsi:type="dcterms:W3CDTF">2026-09-01T15:02:47Z</dcterms:created>
  <dcterms:modified xsi:type="dcterms:W3CDTF">2026-09-04T13:12:12Z</dcterms:modified>
  <dc:language>en-US</dc:language>
</cp:coreProperties>
</file>