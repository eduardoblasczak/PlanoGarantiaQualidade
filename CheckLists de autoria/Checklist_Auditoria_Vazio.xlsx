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lanoGarantiaQualidade\CheckLists de autoria\"/>
    </mc:Choice>
  </mc:AlternateContent>
  <xr:revisionPtr revIDLastSave="0" documentId="13_ncr:1_{1D60C733-D65F-4A54-9652-BFAE808F1CB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ecklist - Auditoria" sheetId="1" r:id="rId1"/>
    <sheet name="Resumo e Aderência" sheetId="2" r:id="rId2"/>
  </sheets>
  <definedNames>
    <definedName name="_xlnm.Print_Titles" localSheetId="0">'Checklist - Auditoria'!$1:$2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C28" i="2" l="1"/>
  <c r="C27" i="2"/>
  <c r="C26" i="2"/>
  <c r="B13" i="2" l="1"/>
  <c r="B12" i="2"/>
  <c r="B11" i="2"/>
  <c r="B10" i="2"/>
  <c r="H28" i="1"/>
  <c r="H24" i="1"/>
  <c r="H22" i="1"/>
  <c r="H21" i="1"/>
  <c r="H19" i="1"/>
  <c r="H18" i="1"/>
  <c r="H17" i="1"/>
  <c r="H16" i="1"/>
  <c r="H14" i="1"/>
  <c r="H13" i="1"/>
  <c r="H12" i="1"/>
  <c r="H11" i="1"/>
  <c r="H10" i="1"/>
  <c r="H8" i="1"/>
  <c r="H7" i="1"/>
  <c r="H6" i="1"/>
  <c r="H5" i="1"/>
  <c r="H4" i="1"/>
  <c r="C29" i="2" l="1"/>
  <c r="A17" i="2"/>
</calcChain>
</file>

<file path=xl/sharedStrings.xml><?xml version="1.0" encoding="utf-8"?>
<sst xmlns="http://schemas.openxmlformats.org/spreadsheetml/2006/main" count="69" uniqueCount="69">
  <si>
    <t>Avaliação de Processo e Produto - Auditoria de Qualidade</t>
  </si>
  <si>
    <t>Nº</t>
  </si>
  <si>
    <t>Descrição</t>
  </si>
  <si>
    <t>Resultado</t>
  </si>
  <si>
    <t>Data e hora da
Identificação da NC</t>
  </si>
  <si>
    <t>Responsável pela
resolução</t>
  </si>
  <si>
    <t>Classificação da NCF</t>
  </si>
  <si>
    <t>Ação corretiva indicada</t>
  </si>
  <si>
    <t>Data prevista de
resolução</t>
  </si>
  <si>
    <t>Data e hora da
conclusão da NC</t>
  </si>
  <si>
    <t>Status da NC</t>
  </si>
  <si>
    <t>Resumo da Avaliação e Cálculo de Aderência</t>
  </si>
  <si>
    <t>Checklist de Processo e Produto - Auditoria de Qualidade</t>
  </si>
  <si>
    <t>Nome do projeto avaliado:</t>
  </si>
  <si>
    <t>Auditor de QA:</t>
  </si>
  <si>
    <t>Data da auditoria:</t>
  </si>
  <si>
    <t>Tempo total da auditoria:</t>
  </si>
  <si>
    <t>Descrição da avaliação:</t>
  </si>
  <si>
    <t>Equipe avaliada: Isabelle Ribeiro, Laura Neris, Gabriela Sartor, Pedro Brecher</t>
  </si>
  <si>
    <t>Nº de pontos de avaliação</t>
  </si>
  <si>
    <t>Nº Conforme</t>
  </si>
  <si>
    <t>Nº Não Conforme (NCF)</t>
  </si>
  <si>
    <t>Nº Não se Aplica</t>
  </si>
  <si>
    <t>Nº NC ainda abertas (não resolvidas)</t>
  </si>
  <si>
    <t>Aderência ao Processo:</t>
  </si>
  <si>
    <t>Faixa de Aderência</t>
  </si>
  <si>
    <t>0% - 60%</t>
  </si>
  <si>
    <t>Insatisfatório</t>
  </si>
  <si>
    <t>61% - 90%</t>
  </si>
  <si>
    <t>Parcialmente Satisfatório</t>
  </si>
  <si>
    <t>91% - 100%</t>
  </si>
  <si>
    <t>Satisfatório</t>
  </si>
  <si>
    <t>Classificação da NC</t>
  </si>
  <si>
    <t>Nº total de NCF</t>
  </si>
  <si>
    <t>Baixa</t>
  </si>
  <si>
    <t>Média</t>
  </si>
  <si>
    <t>Alta</t>
  </si>
  <si>
    <t>Total</t>
  </si>
  <si>
    <t>O relatório descreve o sistema web escolhido, informando nome e finalidade?</t>
  </si>
  <si>
    <t>O contexto do projeto informa o endereço web e o público-alvo do sistema?</t>
  </si>
  <si>
    <t>A escolha do sistema para o teste de usabilidade foi justificada?</t>
  </si>
  <si>
    <t>Os objetivos específicos do teste de usabilidade foram descritos?</t>
  </si>
  <si>
    <t>Os objetivos destacam quais aspectos da qualidade do produto de software se pretende avaliar?</t>
  </si>
  <si>
    <t>1. Introdução</t>
  </si>
  <si>
    <t>2. Metodologia</t>
  </si>
  <si>
    <t>As tarefas definidas para os usuários participantes do teste foram apresentadas?</t>
  </si>
  <si>
    <t>Cada tarefa sinaliza a heurística de Nielsen aplicada?</t>
  </si>
  <si>
    <t>O quadro de planejamento foi preenchido com Heurística, Interface, Cenário (ação) e Testador para todas as tarefas?</t>
  </si>
  <si>
    <t>A técnica de caixa preta aplicada foi explicada, com sua relevância para o teste de usabilidade?</t>
  </si>
  <si>
    <t>As ferramentas e os recursos utilizados para registrar as observações durante o teste foram descritos (gravação de tela, anotações, software específico)?</t>
  </si>
  <si>
    <t>3. Execução do Teste</t>
  </si>
  <si>
    <t>O passo a passo de como os testes foram realizados foi apresentado?</t>
  </si>
  <si>
    <t>Os resultados foram relatados para cada tarefa executada pelos usuários?</t>
  </si>
  <si>
    <t>Foram incluídas imagens que evidenciam a execução dos testes?</t>
  </si>
  <si>
    <t>Os problemas encontrados foram destacados ou o objetivo do teste foi comprovado?</t>
  </si>
  <si>
    <t>4. Análise de Usabilidade</t>
  </si>
  <si>
    <t>Foi apresentada uma avaliação do sistema para cada uma das 10 heurísticas de Nielsen?</t>
  </si>
  <si>
    <t>Os problemas de usabilidade mais críticos foram apresentados e classificados quanto ao impacto na experiência do usuário (alta, média, baixa)?</t>
  </si>
  <si>
    <t>5. Conclusão e Recomendações</t>
  </si>
  <si>
    <t>6. Checklist do Processo e Referências</t>
  </si>
  <si>
    <t>A conclusão geral resume a avaliação da qualidade do sistema em termos de usabilidade?</t>
  </si>
  <si>
    <t xml:space="preserve"> As recomendações de melhoria foram sugeridas com base nos problemas identificados?</t>
  </si>
  <si>
    <t>18.</t>
  </si>
  <si>
    <t>O checklist do processo de teste foi construído e aplicado contemplando planejamento, preparação, execução, análise e revisão, com identificação de quem aplicou e quem revisou?</t>
  </si>
  <si>
    <t>As referências utilizadas no planejamento e na análise foram listadas, incluindo materiais sobre heurísticas de Nielsen e técnicas de teste de usabilidade?</t>
  </si>
  <si>
    <t>Prazo de Resolução (minutos)</t>
  </si>
  <si>
    <t>4 aulas</t>
  </si>
  <si>
    <t>Relatório de Teste de Usabilidade do Sistema Web - iFood</t>
  </si>
  <si>
    <t>Gustavo Giacoia, André Gritten, Eduardo Blasczak, Mateus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</si>
</sst>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3"/>
      <color rgb="FF1F4E78"/>
      <name val="Arial"/>
      <charset val="1"/>
    </font>
    <font>
      <b/>
      <sz val="20"/>
      <color rgb="FF1F4E78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CC0DA"/>
        <bgColor rgb="FFB7B7B7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CCC0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22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3" fillId="9" borderId="1" xfId="0" applyFont="1" applyFill="1" applyBorder="1" applyAlignment="1">
      <alignment horizontal="left" vertical="center"/>
    </xf>
    <xf numFmtId="0" fontId="0" fillId="10" borderId="0" xfId="0" applyFill="1"/>
    <xf numFmtId="0" fontId="9" fillId="0" borderId="0" xfId="0" applyFont="1"/>
    <xf numFmtId="0" fontId="10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4" borderId="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left" vertical="center" wrapText="1"/>
    </xf>
    <xf numFmtId="0" fontId="9" fillId="0" borderId="0" xfId="0" applyFont="1"/>
    <xf numFmtId="0" fontId="7" fillId="0" borderId="0" xfId="0" applyFont="1"/>
    <xf numFmtId="164" fontId="8" fillId="0" borderId="1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FC2BDE-FBFE-4269-B0AB-B68FB000A65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7409ea-3d23-4445-bae3-6647c824bb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showGridLines="0" topLeftCell="B1" zoomScale="85" zoomScaleNormal="85" workbookViewId="0">
      <pane ySplit="2" topLeftCell="A19" activePane="bottomLeft" state="frozen"/>
      <selection pane="bottomLeft" activeCell="C4" sqref="C4"/>
    </sheetView>
  </sheetViews>
  <sheetFormatPr defaultColWidth="8.6640625" defaultRowHeight="14.4" x14ac:dyDescent="0.3"/>
  <cols>
    <col min="1" max="1" width="5" customWidth="1"/>
    <col min="2" max="2" width="159.109375" bestFit="1" customWidth="1"/>
    <col min="3" max="3" width="14" customWidth="1"/>
    <col min="4" max="4" width="16" customWidth="1"/>
    <col min="5" max="6" width="18" customWidth="1"/>
    <col min="7" max="7" width="26" customWidth="1"/>
    <col min="8" max="8" width="15.6640625" bestFit="1" customWidth="1"/>
    <col min="9" max="10" width="16" customWidth="1"/>
  </cols>
  <sheetData>
    <row r="1" spans="1:10" ht="25.5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25" customHeight="1" x14ac:dyDescent="0.3">
      <c r="A3" s="29" t="s">
        <v>43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27.75" customHeight="1" x14ac:dyDescent="0.3">
      <c r="A4" s="3">
        <v>1</v>
      </c>
      <c r="B4" s="4" t="s">
        <v>38</v>
      </c>
      <c r="C4" s="4"/>
      <c r="D4" s="5"/>
      <c r="E4" s="6"/>
      <c r="F4" s="4"/>
      <c r="G4" s="6"/>
      <c r="H4" s="5" t="str">
        <f>IF(OR($C4&lt;&gt;"Não Conforme",$F4="",$D4=""),"",$D4+INDEX('Resumo e Aderência'!$B$26:$B$28,MATCH($F4,'Resumo e Aderência'!$A$26:$A$28,0))/1440)</f>
        <v/>
      </c>
      <c r="I4" s="5"/>
      <c r="J4" s="4"/>
    </row>
    <row r="5" spans="1:10" ht="27.75" customHeight="1" x14ac:dyDescent="0.3">
      <c r="A5" s="3">
        <v>2</v>
      </c>
      <c r="B5" s="4" t="s">
        <v>39</v>
      </c>
      <c r="C5" s="4"/>
      <c r="D5" s="5"/>
      <c r="E5" s="6"/>
      <c r="F5" s="4"/>
      <c r="G5" s="6"/>
      <c r="H5" s="5" t="str">
        <f>IF(OR($C5&lt;&gt;"Não Conforme",$F5="",$D5=""),"",$D5+INDEX('Resumo e Aderência'!$B$26:$B$28,MATCH($F5,'Resumo e Aderência'!$A$26:$A$28,0))/1440)</f>
        <v/>
      </c>
      <c r="I5" s="5"/>
      <c r="J5" s="4"/>
    </row>
    <row r="6" spans="1:10" ht="27.75" customHeight="1" x14ac:dyDescent="0.3">
      <c r="A6" s="3">
        <v>3</v>
      </c>
      <c r="B6" s="4" t="s">
        <v>40</v>
      </c>
      <c r="C6" s="4"/>
      <c r="D6" s="5"/>
      <c r="E6" s="6"/>
      <c r="F6" s="4"/>
      <c r="G6" s="6"/>
      <c r="H6" s="5" t="str">
        <f>IF(OR($C6&lt;&gt;"Não Conforme",$F6="",$D6=""),"",$D6+INDEX('Resumo e Aderência'!$B$26:$B$28,MATCH($F6,'Resumo e Aderência'!$A$26:$A$28,0))/1440)</f>
        <v/>
      </c>
      <c r="I6" s="5"/>
      <c r="J6" s="4"/>
    </row>
    <row r="7" spans="1:10" ht="27.75" customHeight="1" x14ac:dyDescent="0.3">
      <c r="A7" s="3">
        <v>4</v>
      </c>
      <c r="B7" s="4" t="s">
        <v>41</v>
      </c>
      <c r="C7" s="4"/>
      <c r="D7" s="5"/>
      <c r="E7" s="6"/>
      <c r="F7" s="4"/>
      <c r="G7" s="6"/>
      <c r="H7" s="5" t="str">
        <f>IF(OR($C7&lt;&gt;"Não Conforme",$F7="",$D7=""),"",$D7+INDEX('Resumo e Aderência'!$B$26:$B$28,MATCH($F7,'Resumo e Aderência'!$A$26:$A$28,0))/1440)</f>
        <v/>
      </c>
      <c r="I7" s="5"/>
      <c r="J7" s="4"/>
    </row>
    <row r="8" spans="1:10" ht="27.75" customHeight="1" x14ac:dyDescent="0.3">
      <c r="A8" s="3">
        <v>5</v>
      </c>
      <c r="B8" s="4" t="s">
        <v>42</v>
      </c>
      <c r="C8" s="4"/>
      <c r="D8" s="5"/>
      <c r="E8" s="6"/>
      <c r="F8" s="4"/>
      <c r="G8" s="6"/>
      <c r="H8" s="5" t="str">
        <f>IF(OR($C8&lt;&gt;"Não Conforme",$F8="",$D8=""),"",$D8+INDEX('Resumo e Aderência'!$B$26:$B$28,MATCH($F8,'Resumo e Aderência'!$A$26:$A$28,0))/1440)</f>
        <v/>
      </c>
      <c r="I8" s="5"/>
      <c r="J8" s="4"/>
    </row>
    <row r="9" spans="1:10" ht="20.25" customHeight="1" x14ac:dyDescent="0.3">
      <c r="A9" s="29" t="s">
        <v>44</v>
      </c>
      <c r="B9" s="29"/>
      <c r="C9" s="29"/>
      <c r="D9" s="29"/>
      <c r="E9" s="29"/>
      <c r="F9" s="29"/>
      <c r="G9" s="29"/>
      <c r="H9" s="29"/>
      <c r="I9" s="29"/>
      <c r="J9" s="29"/>
    </row>
    <row r="10" spans="1:10" ht="27.75" customHeight="1" x14ac:dyDescent="0.3">
      <c r="A10" s="3">
        <v>6</v>
      </c>
      <c r="B10" s="4" t="s">
        <v>45</v>
      </c>
      <c r="C10" s="4"/>
      <c r="D10" s="5"/>
      <c r="E10" s="6"/>
      <c r="F10" s="4"/>
      <c r="G10" s="6"/>
      <c r="H10" s="5" t="str">
        <f>IF(OR($C10&lt;&gt;"Não Conforme",$F10="",$D10=""),"",$D10+INDEX('Resumo e Aderência'!$B$26:$B$28,MATCH($F10,'Resumo e Aderência'!$A$26:$A$28,0))/1440)</f>
        <v/>
      </c>
      <c r="I10" s="5"/>
      <c r="J10" s="4"/>
    </row>
    <row r="11" spans="1:10" ht="27.75" customHeight="1" x14ac:dyDescent="0.3">
      <c r="A11" s="3">
        <v>7</v>
      </c>
      <c r="B11" s="4" t="s">
        <v>46</v>
      </c>
      <c r="C11" s="4"/>
      <c r="D11" s="5"/>
      <c r="E11" s="6"/>
      <c r="F11" s="4"/>
      <c r="G11" s="6"/>
      <c r="H11" s="5" t="str">
        <f>IF(OR($C11&lt;&gt;"Não Conforme",$F11="",$D11=""),"",$D11+INDEX('Resumo e Aderência'!$B$26:$B$28,MATCH($F11,'Resumo e Aderência'!$A$26:$A$28,0))/1440)</f>
        <v/>
      </c>
      <c r="I11" s="5"/>
      <c r="J11" s="4"/>
    </row>
    <row r="12" spans="1:10" ht="27.75" customHeight="1" x14ac:dyDescent="0.3">
      <c r="A12" s="3">
        <v>8</v>
      </c>
      <c r="B12" s="4" t="s">
        <v>47</v>
      </c>
      <c r="C12" s="4"/>
      <c r="D12" s="5"/>
      <c r="E12" s="6"/>
      <c r="F12" s="4"/>
      <c r="G12" s="6"/>
      <c r="H12" s="5" t="str">
        <f>IF(OR($C12&lt;&gt;"Não Conforme",$F12="",$D12=""),"",$D12+INDEX('Resumo e Aderência'!$B$26:$B$28,MATCH($F12,'Resumo e Aderência'!$A$26:$A$28,0))/1440)</f>
        <v/>
      </c>
      <c r="I12" s="5"/>
      <c r="J12" s="4"/>
    </row>
    <row r="13" spans="1:10" ht="27.75" customHeight="1" x14ac:dyDescent="0.3">
      <c r="A13" s="3">
        <v>9</v>
      </c>
      <c r="B13" s="4" t="s">
        <v>48</v>
      </c>
      <c r="C13" s="4"/>
      <c r="D13" s="5"/>
      <c r="E13" s="6"/>
      <c r="F13" s="4"/>
      <c r="G13" s="6"/>
      <c r="H13" s="5" t="str">
        <f>IF(OR($C13&lt;&gt;"Não Conforme",$F13="",$D13=""),"",$D13+INDEX('Resumo e Aderência'!$B$26:$B$28,MATCH($F13,'Resumo e Aderência'!$A$26:$A$28,0))/1440)</f>
        <v/>
      </c>
      <c r="I13" s="5"/>
      <c r="J13" s="4"/>
    </row>
    <row r="14" spans="1:10" ht="27.75" customHeight="1" x14ac:dyDescent="0.3">
      <c r="A14" s="3">
        <v>10</v>
      </c>
      <c r="B14" s="4" t="s">
        <v>49</v>
      </c>
      <c r="C14" s="4"/>
      <c r="D14" s="5"/>
      <c r="E14" s="6"/>
      <c r="F14" s="4"/>
      <c r="G14" s="6"/>
      <c r="H14" s="5" t="str">
        <f>IF(OR($C14&lt;&gt;"Não Conforme",$F14="",$D14=""),"",$D14+INDEX('Resumo e Aderência'!$B$26:$B$28,MATCH($F14,'Resumo e Aderência'!$A$26:$A$28,0))/1440)</f>
        <v/>
      </c>
      <c r="I14" s="5"/>
      <c r="J14" s="4"/>
    </row>
    <row r="15" spans="1:10" ht="20.25" customHeight="1" x14ac:dyDescent="0.3">
      <c r="A15" s="29" t="s">
        <v>50</v>
      </c>
      <c r="B15" s="29"/>
      <c r="C15" s="29"/>
      <c r="D15" s="29"/>
      <c r="E15" s="29"/>
      <c r="F15" s="29"/>
      <c r="G15" s="29"/>
      <c r="H15" s="29"/>
      <c r="I15" s="29"/>
      <c r="J15" s="29"/>
    </row>
    <row r="16" spans="1:10" ht="27.75" customHeight="1" x14ac:dyDescent="0.3">
      <c r="A16" s="3">
        <v>11</v>
      </c>
      <c r="B16" s="4" t="s">
        <v>51</v>
      </c>
      <c r="C16" s="4"/>
      <c r="D16" s="5"/>
      <c r="E16" s="6"/>
      <c r="F16" s="4"/>
      <c r="G16" s="6"/>
      <c r="H16" s="5" t="str">
        <f>IF(OR($C16&lt;&gt;"Não Conforme",$F16="",$D16=""),"",$D16+INDEX('Resumo e Aderência'!$B$26:$B$28,MATCH($F16,'Resumo e Aderência'!$A$26:$A$28,0))/1440)</f>
        <v/>
      </c>
      <c r="I16" s="5"/>
      <c r="J16" s="4"/>
    </row>
    <row r="17" spans="1:10" ht="27.75" customHeight="1" x14ac:dyDescent="0.3">
      <c r="A17" s="3">
        <v>12</v>
      </c>
      <c r="B17" s="4" t="s">
        <v>52</v>
      </c>
      <c r="C17" s="4"/>
      <c r="D17" s="5"/>
      <c r="E17" s="6"/>
      <c r="F17" s="4"/>
      <c r="G17" s="6"/>
      <c r="H17" s="5" t="str">
        <f>IF(OR($C17&lt;&gt;"Não Conforme",$F17="",$D17=""),"",$D17+INDEX('Resumo e Aderência'!$B$26:$B$28,MATCH($F17,'Resumo e Aderência'!$A$26:$A$28,0))/1440)</f>
        <v/>
      </c>
      <c r="I17" s="5"/>
      <c r="J17" s="4"/>
    </row>
    <row r="18" spans="1:10" ht="27.75" customHeight="1" x14ac:dyDescent="0.3">
      <c r="A18" s="3">
        <v>13</v>
      </c>
      <c r="B18" s="4" t="s">
        <v>53</v>
      </c>
      <c r="C18" s="4"/>
      <c r="D18" s="5"/>
      <c r="E18" s="6"/>
      <c r="F18" s="4"/>
      <c r="G18" s="6"/>
      <c r="H18" s="5" t="str">
        <f>IF(OR($C18&lt;&gt;"Não Conforme",$F18="",$D18=""),"",$D18+INDEX('Resumo e Aderência'!$B$26:$B$28,MATCH($F18,'Resumo e Aderência'!$A$26:$A$28,0))/1440)</f>
        <v/>
      </c>
      <c r="I18" s="5"/>
      <c r="J18" s="4"/>
    </row>
    <row r="19" spans="1:10" ht="27.75" customHeight="1" x14ac:dyDescent="0.3">
      <c r="A19" s="3">
        <v>14</v>
      </c>
      <c r="B19" s="4" t="s">
        <v>54</v>
      </c>
      <c r="C19" s="4"/>
      <c r="D19" s="5"/>
      <c r="E19" s="6"/>
      <c r="F19" s="4"/>
      <c r="G19" s="6"/>
      <c r="H19" s="5" t="str">
        <f>IF(OR($C19&lt;&gt;"Não Conforme",$F19="",$D19=""),"",$D19+INDEX('Resumo e Aderência'!$B$26:$B$28,MATCH($F19,'Resumo e Aderência'!$A$26:$A$28,0))/1440)</f>
        <v/>
      </c>
      <c r="I19" s="5"/>
      <c r="J19" s="4"/>
    </row>
    <row r="20" spans="1:10" ht="20.25" customHeight="1" x14ac:dyDescent="0.3">
      <c r="A20" s="1" t="s">
        <v>55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7.75" customHeight="1" x14ac:dyDescent="0.3">
      <c r="A21" s="3">
        <v>15</v>
      </c>
      <c r="B21" s="4" t="s">
        <v>56</v>
      </c>
      <c r="C21" s="4"/>
      <c r="D21" s="5"/>
      <c r="E21" s="6"/>
      <c r="F21" s="4"/>
      <c r="G21" s="6"/>
      <c r="H21" s="5" t="str">
        <f>IF(OR($C21&lt;&gt;"Não Conforme",$F21="",$D21=""),"",$D21+INDEX('Resumo e Aderência'!$B$26:$B$28,MATCH($F21,'Resumo e Aderência'!$A$26:$A$28,0))/1440)</f>
        <v/>
      </c>
      <c r="I21" s="5"/>
      <c r="J21" s="4"/>
    </row>
    <row r="22" spans="1:10" ht="27.75" customHeight="1" x14ac:dyDescent="0.3">
      <c r="A22" s="3">
        <v>16</v>
      </c>
      <c r="B22" s="4" t="s">
        <v>57</v>
      </c>
      <c r="C22" s="4"/>
      <c r="D22" s="5"/>
      <c r="E22" s="6"/>
      <c r="F22" s="4"/>
      <c r="G22" s="6"/>
      <c r="H22" s="5" t="str">
        <f>IF(OR($C22&lt;&gt;"Não Conforme",$F22="",$D22=""),"",$D22+INDEX('Resumo e Aderência'!$B$26:$B$28,MATCH($F22,'Resumo e Aderência'!$A$26:$A$28,0))/1440)</f>
        <v/>
      </c>
      <c r="I22" s="5"/>
      <c r="J22" s="4"/>
    </row>
    <row r="23" spans="1:10" ht="20.25" customHeight="1" x14ac:dyDescent="0.3">
      <c r="A23" s="1" t="s">
        <v>58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7.75" customHeight="1" x14ac:dyDescent="0.3">
      <c r="A24" s="3">
        <v>17</v>
      </c>
      <c r="B24" s="4" t="s">
        <v>60</v>
      </c>
      <c r="C24" s="4"/>
      <c r="D24" s="5"/>
      <c r="E24" s="6"/>
      <c r="F24" s="4"/>
      <c r="G24" s="6"/>
      <c r="H24" s="5" t="str">
        <f>IF(OR($C24&lt;&gt;"Não Conforme",$F24="",$D24=""),"",$D24+INDEX('Resumo e Aderência'!$B$26:$B$28,MATCH($F24,'Resumo e Aderência'!$A$26:$A$28,0))/1440)</f>
        <v/>
      </c>
      <c r="I24" s="5"/>
      <c r="J24" s="4"/>
    </row>
    <row r="25" spans="1:10" ht="27.75" customHeight="1" x14ac:dyDescent="0.3">
      <c r="A25" s="3" t="s">
        <v>62</v>
      </c>
      <c r="B25" s="19" t="s">
        <v>61</v>
      </c>
      <c r="C25" s="4"/>
      <c r="D25" s="5"/>
      <c r="E25" s="6"/>
      <c r="F25" s="4"/>
      <c r="G25" s="6"/>
      <c r="H25" s="5"/>
      <c r="I25" s="5"/>
      <c r="J25" s="4"/>
    </row>
    <row r="26" spans="1:10" ht="20.25" customHeight="1" x14ac:dyDescent="0.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s="25" customFormat="1" ht="20.25" customHeight="1" x14ac:dyDescent="0.3">
      <c r="A27" s="24">
        <v>19</v>
      </c>
      <c r="B27" t="s">
        <v>63</v>
      </c>
      <c r="C27" s="27"/>
      <c r="D27" s="24"/>
      <c r="E27" s="24"/>
      <c r="F27" s="24"/>
      <c r="G27" s="24"/>
      <c r="H27" s="24"/>
      <c r="I27" s="24"/>
      <c r="J27" s="24"/>
    </row>
    <row r="28" spans="1:10" ht="27.75" customHeight="1" x14ac:dyDescent="0.3">
      <c r="A28" s="3">
        <v>20</v>
      </c>
      <c r="B28" s="4" t="s">
        <v>64</v>
      </c>
      <c r="C28" s="4"/>
      <c r="D28" s="5"/>
      <c r="E28" s="6"/>
      <c r="F28" s="4"/>
      <c r="G28" s="6"/>
      <c r="H28" s="5" t="str">
        <f>IF(OR($C28&lt;&gt;"Não Conforme",$F28="",$D28=""),"",$D28+INDEX('Resumo e Aderência'!$B$26:$B$28,MATCH($F28,'Resumo e Aderência'!$A$26:$A$28,0))/1440)</f>
        <v/>
      </c>
      <c r="I28" s="5"/>
      <c r="J28" s="4"/>
    </row>
    <row r="29" spans="1:10" ht="27.75" customHeight="1" x14ac:dyDescent="0.3">
      <c r="A29" s="20"/>
      <c r="B29" s="21"/>
      <c r="C29" s="21"/>
      <c r="D29" s="22"/>
      <c r="E29" s="23"/>
      <c r="F29" s="21"/>
      <c r="G29" s="23"/>
      <c r="H29" s="22"/>
      <c r="I29" s="22"/>
      <c r="J29" s="21"/>
    </row>
  </sheetData>
  <mergeCells count="4">
    <mergeCell ref="A1:J1"/>
    <mergeCell ref="A3:J3"/>
    <mergeCell ref="A9:J9"/>
    <mergeCell ref="A15:J15"/>
  </mergeCells>
  <dataValidations count="4">
    <dataValidation type="list" allowBlank="1" showErrorMessage="1" error="Selecione uma opção da lista." prompt="Selecione o resultado da verificação." sqref="C3:C29" xr:uid="{00000000-0002-0000-0000-000000000000}">
      <formula1>"Conforme,Não Conforme,Não se Aplica"</formula1>
      <formula2>0</formula2>
    </dataValidation>
    <dataValidation type="list" allowBlank="1" showErrorMessage="1" error="Selecione uma classificação válida (Baixa, Média ou Alta)." prompt="Selecione a classificação da NC. O prazo de resolução é calculado automaticamente." sqref="F3:F29" xr:uid="{00000000-0002-0000-0000-000001000000}">
      <formula1>"Baixa,Média,Alta"</formula1>
      <formula2>0</formula2>
    </dataValidation>
    <dataValidation type="list" allowBlank="1" showErrorMessage="1" error="Selecione uma opção da lista." prompt="Selecione o status da não conformidade." sqref="J3 J9 J15 J20 J23 J26 J29" xr:uid="{00000000-0002-0000-0000-000002000000}">
      <formula1>"Aberta,Em Resolução,Escalonada,Resolvida,Verificada,Encerrada"</formula1>
      <formula2>0</formula2>
    </dataValidation>
    <dataValidation type="list" allowBlank="1" showInputMessage="1" showErrorMessage="1" sqref="J4:J8 J10:J14 J16:J19 J21:J22 J24:J25 J27:J28" xr:uid="{DF85B142-4A95-4DF3-B2C3-7EC22B6794FD}">
      <formula1>"Aberta,Resolvida,Escalonada"</formula1>
    </dataValidation>
  </dataValidations>
  <pageMargins left="0.75" right="0.75" top="1" bottom="1" header="0.511811023622047" footer="0.511811023622047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abSelected="1" zoomScaleNormal="100" workbookViewId="0">
      <selection activeCell="B5" sqref="B5:E5"/>
    </sheetView>
  </sheetViews>
  <sheetFormatPr defaultColWidth="8.6640625" defaultRowHeight="14.4" x14ac:dyDescent="0.3"/>
  <cols>
    <col min="1" max="1" width="35.44140625" customWidth="1"/>
    <col min="2" max="2" width="24" customWidth="1"/>
    <col min="3" max="3" width="14" customWidth="1"/>
    <col min="4" max="4" width="4" customWidth="1"/>
    <col min="5" max="5" width="24" customWidth="1"/>
    <col min="6" max="6" width="14" customWidth="1"/>
    <col min="7" max="7" width="16" customWidth="1"/>
  </cols>
  <sheetData>
    <row r="1" spans="1:7" ht="25.5" customHeight="1" x14ac:dyDescent="0.3">
      <c r="A1" s="30" t="s">
        <v>11</v>
      </c>
      <c r="B1" s="30"/>
      <c r="C1" s="30"/>
      <c r="D1" s="30"/>
      <c r="E1" s="30"/>
      <c r="F1" s="30"/>
      <c r="G1" s="30"/>
    </row>
    <row r="2" spans="1:7" x14ac:dyDescent="0.3">
      <c r="A2" s="31" t="s">
        <v>12</v>
      </c>
      <c r="B2" s="31"/>
      <c r="C2" s="31"/>
      <c r="D2" s="31"/>
      <c r="E2" s="31"/>
      <c r="F2" s="31"/>
      <c r="G2" s="31"/>
    </row>
    <row r="4" spans="1:7" ht="30" customHeight="1" x14ac:dyDescent="0.3">
      <c r="A4" s="7" t="s">
        <v>13</v>
      </c>
      <c r="B4" s="32" t="s">
        <v>67</v>
      </c>
      <c r="C4" s="32"/>
      <c r="D4" s="32"/>
      <c r="E4" s="32"/>
    </row>
    <row r="5" spans="1:7" ht="18" customHeight="1" x14ac:dyDescent="0.3">
      <c r="A5" s="7" t="s">
        <v>14</v>
      </c>
      <c r="B5" s="32" t="s">
        <v>68</v>
      </c>
      <c r="C5" s="32"/>
      <c r="D5" s="32"/>
      <c r="E5" s="32"/>
    </row>
    <row r="6" spans="1:7" ht="18" customHeight="1" x14ac:dyDescent="0.3">
      <c r="A6" s="7" t="s">
        <v>15</v>
      </c>
      <c r="B6" s="33">
        <v>46269</v>
      </c>
      <c r="C6" s="33"/>
      <c r="D6" s="33"/>
      <c r="E6" s="33"/>
    </row>
    <row r="7" spans="1:7" ht="18" customHeight="1" x14ac:dyDescent="0.3">
      <c r="A7" s="7" t="s">
        <v>16</v>
      </c>
      <c r="B7" s="32" t="s">
        <v>66</v>
      </c>
      <c r="C7" s="32"/>
      <c r="D7" s="32"/>
      <c r="E7" s="32"/>
    </row>
    <row r="8" spans="1:7" ht="30" customHeight="1" x14ac:dyDescent="0.3">
      <c r="A8" s="7" t="s">
        <v>17</v>
      </c>
      <c r="B8" s="32" t="s">
        <v>18</v>
      </c>
      <c r="C8" s="32"/>
      <c r="D8" s="32"/>
      <c r="E8" s="32"/>
    </row>
    <row r="10" spans="1:7" ht="18" customHeight="1" x14ac:dyDescent="0.3">
      <c r="A10" s="7" t="s">
        <v>19</v>
      </c>
      <c r="B10" s="8">
        <f>COUNTA('Checklist - Auditoria'!$B$3:$B$28)</f>
        <v>20</v>
      </c>
    </row>
    <row r="11" spans="1:7" ht="18" customHeight="1" x14ac:dyDescent="0.3">
      <c r="A11" s="7" t="s">
        <v>20</v>
      </c>
      <c r="B11" s="8">
        <f>COUNTIF('Checklist - Auditoria'!$C$3:$C$28,"Conforme")</f>
        <v>0</v>
      </c>
    </row>
    <row r="12" spans="1:7" ht="18" customHeight="1" x14ac:dyDescent="0.3">
      <c r="A12" s="7" t="s">
        <v>21</v>
      </c>
      <c r="B12" s="8">
        <f>COUNTIF('Checklist - Auditoria'!$C$3:$C$28,"Não Conforme")</f>
        <v>0</v>
      </c>
    </row>
    <row r="13" spans="1:7" ht="18" customHeight="1" x14ac:dyDescent="0.3">
      <c r="A13" s="7" t="s">
        <v>22</v>
      </c>
      <c r="B13" s="8">
        <f>COUNTIF('Checklist - Auditoria'!$C$3:$C$28,"Não se Aplica")</f>
        <v>0</v>
      </c>
    </row>
    <row r="14" spans="1:7" ht="18" customHeight="1" x14ac:dyDescent="0.3">
      <c r="A14" s="7" t="s">
        <v>23</v>
      </c>
      <c r="B14" s="8">
        <f>COUNTIFS('Checklist - Auditoria'!$C$3:$C$28,"Não Conforme",'Checklist - Auditoria'!$J$3:$J$28,"&lt;&gt;Resolvida")</f>
        <v>0</v>
      </c>
    </row>
    <row r="16" spans="1:7" ht="16.5" customHeight="1" x14ac:dyDescent="0.3">
      <c r="A16" s="35" t="s">
        <v>24</v>
      </c>
      <c r="B16" s="35"/>
    </row>
    <row r="17" spans="1:7" ht="30" customHeight="1" x14ac:dyDescent="0.3">
      <c r="A17" s="36">
        <f>IFERROR(B11/(B10-B13),0)</f>
        <v>0</v>
      </c>
      <c r="B17" s="36"/>
    </row>
    <row r="19" spans="1:7" x14ac:dyDescent="0.3">
      <c r="A19" s="37" t="s">
        <v>25</v>
      </c>
      <c r="B19" s="37"/>
    </row>
    <row r="20" spans="1:7" x14ac:dyDescent="0.3">
      <c r="A20" s="9" t="s">
        <v>26</v>
      </c>
      <c r="B20" s="9" t="s">
        <v>27</v>
      </c>
    </row>
    <row r="21" spans="1:7" x14ac:dyDescent="0.3">
      <c r="A21" s="10" t="s">
        <v>28</v>
      </c>
      <c r="B21" s="10" t="s">
        <v>29</v>
      </c>
    </row>
    <row r="22" spans="1:7" x14ac:dyDescent="0.3">
      <c r="A22" s="11" t="s">
        <v>30</v>
      </c>
      <c r="B22" s="11" t="s">
        <v>31</v>
      </c>
    </row>
    <row r="25" spans="1:7" ht="27.75" customHeight="1" x14ac:dyDescent="0.3">
      <c r="A25" s="12" t="s">
        <v>32</v>
      </c>
      <c r="B25" s="12" t="s">
        <v>65</v>
      </c>
      <c r="C25" s="12" t="s">
        <v>33</v>
      </c>
    </row>
    <row r="26" spans="1:7" x14ac:dyDescent="0.3">
      <c r="A26" s="13" t="s">
        <v>34</v>
      </c>
      <c r="B26" s="14">
        <v>90</v>
      </c>
      <c r="C26" s="15">
        <f>COUNTIF('Checklist - Auditoria'!$F$3:$F$28,"Baixa")</f>
        <v>0</v>
      </c>
    </row>
    <row r="27" spans="1:7" x14ac:dyDescent="0.3">
      <c r="A27" s="13" t="s">
        <v>35</v>
      </c>
      <c r="B27" s="14">
        <v>60</v>
      </c>
      <c r="C27" s="15">
        <f>COUNTIF('Checklist - Auditoria'!$F$3:$F$28,"Média")</f>
        <v>0</v>
      </c>
    </row>
    <row r="28" spans="1:7" x14ac:dyDescent="0.3">
      <c r="A28" s="13" t="s">
        <v>36</v>
      </c>
      <c r="B28" s="14">
        <v>30</v>
      </c>
      <c r="C28" s="15">
        <f>COUNTIF('Checklist - Auditoria'!$F$3:$F$28,"Alta")</f>
        <v>0</v>
      </c>
    </row>
    <row r="29" spans="1:7" x14ac:dyDescent="0.3">
      <c r="A29" s="16" t="s">
        <v>37</v>
      </c>
      <c r="B29" s="17"/>
      <c r="C29" s="18">
        <f>SUM(C26:C28)</f>
        <v>0</v>
      </c>
    </row>
    <row r="30" spans="1:7" x14ac:dyDescent="0.3">
      <c r="A30" s="26"/>
      <c r="B30" s="26"/>
      <c r="C30" s="26"/>
      <c r="D30" s="26"/>
      <c r="E30" s="26"/>
      <c r="F30" s="26"/>
      <c r="G30" s="26"/>
    </row>
    <row r="31" spans="1:7" x14ac:dyDescent="0.3">
      <c r="A31" s="26"/>
      <c r="B31" s="26"/>
      <c r="C31" s="26"/>
      <c r="D31" s="26"/>
      <c r="E31" s="26"/>
      <c r="F31" s="26"/>
      <c r="G31" s="26"/>
    </row>
    <row r="32" spans="1:7" x14ac:dyDescent="0.3">
      <c r="A32" s="26"/>
      <c r="B32" s="26"/>
      <c r="C32" s="26"/>
      <c r="D32" s="26"/>
      <c r="E32" s="26"/>
      <c r="F32" s="26"/>
      <c r="G32" s="26"/>
    </row>
    <row r="33" spans="1:7" x14ac:dyDescent="0.3">
      <c r="A33" s="26"/>
      <c r="B33" s="26"/>
      <c r="C33" s="26"/>
      <c r="D33" s="26"/>
      <c r="E33" s="26"/>
      <c r="F33" s="26"/>
      <c r="G33" s="26"/>
    </row>
    <row r="34" spans="1:7" x14ac:dyDescent="0.3">
      <c r="A34" s="26"/>
      <c r="B34" s="26"/>
      <c r="C34" s="26"/>
      <c r="D34" s="26"/>
      <c r="E34" s="26"/>
      <c r="F34" s="26"/>
      <c r="G34" s="26"/>
    </row>
    <row r="35" spans="1:7" x14ac:dyDescent="0.3">
      <c r="A35" s="34"/>
      <c r="B35" s="34"/>
      <c r="C35" s="34"/>
      <c r="D35" s="34"/>
      <c r="E35" s="34"/>
      <c r="F35" s="34"/>
      <c r="G35" s="34"/>
    </row>
    <row r="38" spans="1:7" x14ac:dyDescent="0.3">
      <c r="A38" s="34"/>
      <c r="B38" s="34"/>
      <c r="C38" s="34"/>
      <c r="D38" s="34"/>
      <c r="E38" s="34"/>
      <c r="F38" s="34"/>
      <c r="G38" s="34"/>
    </row>
  </sheetData>
  <mergeCells count="12">
    <mergeCell ref="A35:G35"/>
    <mergeCell ref="A38:G38"/>
    <mergeCell ref="B7:E7"/>
    <mergeCell ref="B8:E8"/>
    <mergeCell ref="A16:B16"/>
    <mergeCell ref="A17:B17"/>
    <mergeCell ref="A19:B19"/>
    <mergeCell ref="A1:G1"/>
    <mergeCell ref="A2:G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12" ma:contentTypeDescription="Create a new document." ma:contentTypeScope="" ma:versionID="fb08428c4fa44192ac61b8545d9817a6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ddd63fb6b546156834562ca8dd84b3f7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7FCCD9-0F54-408C-A072-F3A2C41297DF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aed73f09-bf5d-4147-a3d9-eca4840d341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D39D842-B01B-4CD0-AE66-42EBDFD06E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DC3EA-0FE4-406F-B8CE-6D3A8B69B8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 - Auditoria</vt:lpstr>
      <vt:lpstr>Resumo e Aderência</vt:lpstr>
      <vt:lpstr>'Checklist - Auditoria'!Titulos_de_impressao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Gritten</cp:lastModifiedBy>
  <cp:revision>0</cp:revision>
  <dcterms:created xsi:type="dcterms:W3CDTF">2026-09-01T15:02:47Z</dcterms:created>
  <dcterms:modified xsi:type="dcterms:W3CDTF">2026-09-11T01:54:55Z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