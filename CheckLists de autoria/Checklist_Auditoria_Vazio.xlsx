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pucpredu-my.sharepoint.com/personal/eduardo_blasczak_pucpr_edu_br/Documents/ENGENHARIA DE SOFTWARE/2026/4° PERÍODO/QUALIDADE DE SOFTWARE/"/>
    </mc:Choice>
  </mc:AlternateContent>
  <xr:revisionPtr revIDLastSave="2" documentId="13_ncr:1_{6B90E846-0A09-4E04-B791-FC006CC6DDD3}" xr6:coauthVersionLast="47" xr6:coauthVersionMax="47" xr10:uidLastSave="{3814D795-85D9-48A0-84B9-E1D543C8869D}"/>
  <bookViews>
    <workbookView xWindow="-120" yWindow="-120" windowWidth="29040" windowHeight="15720" tabRatio="500" xr2:uid="{00000000-000D-0000-FFFF-FFFF00000000}"/>
  </bookViews>
  <sheets>
    <sheet name="Checklist Auditoria" sheetId="1" r:id="rId1"/>
  </sheets>
  <definedNames>
    <definedName name="_xlnm.Print_Area" localSheetId="0">'Checklist Auditoria'!$A$1:$E$43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8" i="1" l="1"/>
  <c r="D37" i="1"/>
  <c r="D36" i="1"/>
  <c r="D35" i="1"/>
  <c r="D39" i="1" l="1"/>
</calcChain>
</file>

<file path=xl/sharedStrings.xml><?xml version="1.0" encoding="utf-8"?>
<sst xmlns="http://schemas.openxmlformats.org/spreadsheetml/2006/main" count="69" uniqueCount="47">
  <si>
    <t>Checklist de Auditoria de Qualidade</t>
  </si>
  <si>
    <t>Artefato auditado: Relatório de Teste de Usabilidade do Sistema Web - iFood (+ Documentando_casos_de_teste.xlsx) | Equipe avaliada: Isabelle Ribeiro, Laura Neris, Gabriela Sartor, Pedro Brecher</t>
  </si>
  <si>
    <t>Equipe avaliadora: Gustavo Giacoia, André Gritten, Eduardo Blaszczak, Mateus  Dos Santos|  Data da auditoria: 04/09/2026</t>
  </si>
  <si>
    <t>Nº</t>
  </si>
  <si>
    <t>Categoria</t>
  </si>
  <si>
    <t>Critério de Avaliação</t>
  </si>
  <si>
    <t>Resultado</t>
  </si>
  <si>
    <t>Evidência / Observação</t>
  </si>
  <si>
    <t>1. Estrutura e Conformidade com o Template</t>
  </si>
  <si>
    <t>1.1 Contexto do projeto: descreve o sistema (nome, finalidade), define o público-alvo e o endereço web, e justifica a escolha do sistema para o teste</t>
  </si>
  <si>
    <t>1.2 Objetivos do teste: apresenta objetivo geral e objetivos específicos claros, alinhados à avaliação de usabilidade</t>
  </si>
  <si>
    <t>2.1 Planejamento do teste: apresenta as tarefas definidas, sinalizando a heurística de Nielsen aplicada em cada uma</t>
  </si>
  <si>
    <t>2.2 Técnica de teste utilizada: explica e justifica a técnica de caixa preta aplicada</t>
  </si>
  <si>
    <t>2.3 Ferramentas e recursos: descreve as ferramentas utilizadas para registrar as observações do teste</t>
  </si>
  <si>
    <t>3.1 Execução do teste: apresenta o passo a passo e os resultados de cada caso, com evidência visual associada</t>
  </si>
  <si>
    <t>4.1 Avaliação com base nas heurísticas de Nielsen: apresenta avaliação individual para cada uma das 10 heurísticas</t>
  </si>
  <si>
    <t>4.2 Identificação de problemas críticos: apresenta os problemas mais críticos e classifica o impacto (alto/médio/baixo)</t>
  </si>
  <si>
    <t>5.1 Conclusão geral: resume a avaliação geral da qualidade de usabilidade do sistema</t>
  </si>
  <si>
    <t>5.2 Recomendações de melhoria: sugere melhorias baseadas nos problemas identificados</t>
  </si>
  <si>
    <t>6. Checklist do processo de teste: construído e aplicado cobrindo planejamento, preparação, execução, análise e revisão, com aplicador e revisor identificados</t>
  </si>
  <si>
    <t>Referências: lista as fontes utilizadas (heurísticas de Nielsen, técnicas de teste), com dados completos e data de acesso</t>
  </si>
  <si>
    <t>2. Cobertura e Completude dos Casos de Teste</t>
  </si>
  <si>
    <t>Foram elaborados no mínimo 40 casos de teste</t>
  </si>
  <si>
    <t>Os casos estão distribuídos de forma equilibrada entre as 10 heurísticas (4 casos por heurística)</t>
  </si>
  <si>
    <t>Cada caso possui identificador único (CTxx), sequencial, sem lacunas ou duplicidade</t>
  </si>
  <si>
    <t>Cada caso descreve cenário, resultado esperado e resultado obtido de forma clara e específica</t>
  </si>
  <si>
    <t>Cada caso possui uma situação classificada, usando as categorias definidas na metodologia do relatório</t>
  </si>
  <si>
    <t>Casos classificados como "não avaliado" apresentam justificativa registrada</t>
  </si>
  <si>
    <t>Cada caso indica testador e revisor, com o revisor sendo diferente do integrante que executou o caso (revisão cruzada)</t>
  </si>
  <si>
    <t>Existe evidência visual (captura de tela) referenciada para os casos efetivamente executados</t>
  </si>
  <si>
    <t>3. Consistência e Rastreabilidade</t>
  </si>
  <si>
    <t>A descrição de cada caso na planilha é consistente com o relato correspondente na Seção 3.1 do relatório</t>
  </si>
  <si>
    <t>Os critérios de classificação (Conforme/Parcialmente conforme/Não conforme) são aplicados de forma consistente em todos os casos</t>
  </si>
  <si>
    <t>As recomendações de melhoria de cada caso são específicas e acionáveis (não genéricas)</t>
  </si>
  <si>
    <t>Os problemas críticos da Seção 4.2 fazem referência explícita aos casos de teste que os originaram</t>
  </si>
  <si>
    <t>4. Qualidade Formal</t>
  </si>
  <si>
    <t>As referências seguem um padrão consistente de citação, incluindo data de acesso para fontes web</t>
  </si>
  <si>
    <t>O documento não apresenta erros de digitação/formatação que prejudiquem a leitura ou o entendimento</t>
  </si>
  <si>
    <t>Cálculo de Aderência</t>
  </si>
  <si>
    <t>Total de critérios</t>
  </si>
  <si>
    <t>Sim</t>
  </si>
  <si>
    <t>Parcial</t>
  </si>
  <si>
    <t>Não</t>
  </si>
  <si>
    <t>N/A</t>
  </si>
  <si>
    <t>% de Aderência</t>
  </si>
  <si>
    <t>Legenda: Sim = 1 ponto | Parcial = 0,5 ponto | Não = 0 ponto | N/A é excluído do cálculo. % de Aderência = (Sim + Parcial×0,5) / (Sim + Parcial + Não).</t>
  </si>
  <si>
    <t>Instruções: preencha a coluna "Resultado" com Sim / Parcial / Não / N-A (use a lista suspensa) e registre a evidência de cada item na coluna "Evidência / Observação" durante a auditoria de 04/09/2026.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</si>
</sst>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40404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2"/>
      <color rgb="FFFFFFFF"/>
      <name val="Arial"/>
      <charset val="1"/>
    </font>
    <font>
      <b/>
      <sz val="10"/>
      <name val="Arial"/>
      <charset val="1"/>
    </font>
    <font>
      <b/>
      <sz val="12"/>
      <color rgb="FF1F4E78"/>
      <name val="Arial"/>
      <charset val="1"/>
    </font>
    <font>
      <i/>
      <sz val="8"/>
      <color rgb="FF808080"/>
      <name val="Arial"/>
      <charset val="1"/>
    </font>
    <font>
      <i/>
      <sz val="9"/>
      <color rgb="FF9C57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2E4E8C"/>
        <bgColor rgb="FF1F4E78"/>
      </patternFill>
    </fill>
    <fill>
      <patternFill patternType="solid">
        <fgColor rgb="FFD9E1F2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6" fillId="0" borderId="1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C5700"/>
      <rgbColor rgb="FF993366"/>
      <rgbColor rgb="FF2E4E8C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43"/>
  <sheetViews>
    <sheetView showGridLines="0" tabSelected="1" zoomScaleNormal="100" workbookViewId="0">
      <pane ySplit="5" topLeftCell="A6" activePane="bottomLeft" state="frozen"/>
      <selection pane="bottomLeft" activeCell="D6" sqref="D6"/>
    </sheetView>
  </sheetViews>
  <sheetFormatPr defaultColWidth="8.7109375" defaultRowHeight="15"/>
  <cols>
    <col min="1" max="1" width="5" customWidth="1"/>
    <col min="2" max="2" width="26" customWidth="1"/>
    <col min="3" max="3" width="55" customWidth="1"/>
    <col min="4" max="4" width="12" customWidth="1"/>
    <col min="5" max="5" width="46" customWidth="1"/>
  </cols>
  <sheetData>
    <row r="1" spans="1:5" ht="24" customHeight="1">
      <c r="A1" s="8" t="s">
        <v>0</v>
      </c>
      <c r="B1" s="8"/>
      <c r="C1" s="8"/>
      <c r="D1" s="8"/>
      <c r="E1" s="8"/>
    </row>
    <row r="2" spans="1:5" ht="27.75" customHeight="1">
      <c r="A2" s="9" t="s">
        <v>1</v>
      </c>
      <c r="B2" s="9"/>
      <c r="C2" s="9"/>
      <c r="D2" s="9"/>
      <c r="E2" s="9"/>
    </row>
    <row r="3" spans="1:5">
      <c r="A3" s="10" t="s">
        <v>2</v>
      </c>
      <c r="B3" s="10"/>
      <c r="C3" s="10"/>
      <c r="D3" s="10"/>
      <c r="E3" s="10"/>
    </row>
    <row r="5" spans="1:5" ht="19.5" customHeight="1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</row>
    <row r="6" spans="1:5" ht="42" customHeight="1">
      <c r="A6" s="2">
        <v>1</v>
      </c>
      <c r="B6" s="3" t="s">
        <v>8</v>
      </c>
      <c r="C6" s="4" t="s">
        <v>9</v>
      </c>
      <c r="D6" s="2"/>
      <c r="E6" s="5"/>
    </row>
    <row r="7" spans="1:5" ht="42" customHeight="1">
      <c r="A7" s="2">
        <v>2</v>
      </c>
      <c r="B7" s="3" t="s">
        <v>8</v>
      </c>
      <c r="C7" s="4" t="s">
        <v>10</v>
      </c>
      <c r="D7" s="2"/>
      <c r="E7" s="5"/>
    </row>
    <row r="8" spans="1:5" ht="42" customHeight="1">
      <c r="A8" s="2">
        <v>3</v>
      </c>
      <c r="B8" s="3" t="s">
        <v>8</v>
      </c>
      <c r="C8" s="4" t="s">
        <v>11</v>
      </c>
      <c r="D8" s="2"/>
      <c r="E8" s="5"/>
    </row>
    <row r="9" spans="1:5" ht="42" customHeight="1">
      <c r="A9" s="2">
        <v>4</v>
      </c>
      <c r="B9" s="3" t="s">
        <v>8</v>
      </c>
      <c r="C9" s="4" t="s">
        <v>12</v>
      </c>
      <c r="D9" s="2"/>
      <c r="E9" s="5"/>
    </row>
    <row r="10" spans="1:5" ht="42" customHeight="1">
      <c r="A10" s="2">
        <v>5</v>
      </c>
      <c r="B10" s="3" t="s">
        <v>8</v>
      </c>
      <c r="C10" s="4" t="s">
        <v>13</v>
      </c>
      <c r="D10" s="2"/>
      <c r="E10" s="5"/>
    </row>
    <row r="11" spans="1:5" ht="42" customHeight="1">
      <c r="A11" s="2">
        <v>6</v>
      </c>
      <c r="B11" s="3" t="s">
        <v>8</v>
      </c>
      <c r="C11" s="4" t="s">
        <v>14</v>
      </c>
      <c r="D11" s="2"/>
      <c r="E11" s="5"/>
    </row>
    <row r="12" spans="1:5" ht="42" customHeight="1">
      <c r="A12" s="2">
        <v>7</v>
      </c>
      <c r="B12" s="3" t="s">
        <v>8</v>
      </c>
      <c r="C12" s="4" t="s">
        <v>15</v>
      </c>
      <c r="D12" s="2"/>
      <c r="E12" s="5"/>
    </row>
    <row r="13" spans="1:5" ht="42" customHeight="1">
      <c r="A13" s="2">
        <v>8</v>
      </c>
      <c r="B13" s="3" t="s">
        <v>8</v>
      </c>
      <c r="C13" s="4" t="s">
        <v>16</v>
      </c>
      <c r="D13" s="2"/>
      <c r="E13" s="5"/>
    </row>
    <row r="14" spans="1:5" ht="42" customHeight="1">
      <c r="A14" s="2">
        <v>9</v>
      </c>
      <c r="B14" s="3" t="s">
        <v>8</v>
      </c>
      <c r="C14" s="4" t="s">
        <v>17</v>
      </c>
      <c r="D14" s="2"/>
      <c r="E14" s="5"/>
    </row>
    <row r="15" spans="1:5" ht="42" customHeight="1">
      <c r="A15" s="2">
        <v>10</v>
      </c>
      <c r="B15" s="3" t="s">
        <v>8</v>
      </c>
      <c r="C15" s="4" t="s">
        <v>18</v>
      </c>
      <c r="D15" s="2"/>
      <c r="E15" s="5"/>
    </row>
    <row r="16" spans="1:5" ht="42" customHeight="1">
      <c r="A16" s="2">
        <v>11</v>
      </c>
      <c r="B16" s="3" t="s">
        <v>8</v>
      </c>
      <c r="C16" s="4" t="s">
        <v>19</v>
      </c>
      <c r="D16" s="2"/>
      <c r="E16" s="5"/>
    </row>
    <row r="17" spans="1:5" ht="42" customHeight="1">
      <c r="A17" s="2">
        <v>12</v>
      </c>
      <c r="B17" s="3" t="s">
        <v>8</v>
      </c>
      <c r="C17" s="4" t="s">
        <v>20</v>
      </c>
      <c r="D17" s="2"/>
      <c r="E17" s="5"/>
    </row>
    <row r="18" spans="1:5" ht="42" customHeight="1">
      <c r="A18" s="2">
        <v>13</v>
      </c>
      <c r="B18" s="3" t="s">
        <v>21</v>
      </c>
      <c r="C18" s="4" t="s">
        <v>22</v>
      </c>
      <c r="D18" s="2"/>
      <c r="E18" s="5"/>
    </row>
    <row r="19" spans="1:5" ht="42" customHeight="1">
      <c r="A19" s="2">
        <v>14</v>
      </c>
      <c r="B19" s="3" t="s">
        <v>21</v>
      </c>
      <c r="C19" s="4" t="s">
        <v>23</v>
      </c>
      <c r="D19" s="2"/>
      <c r="E19" s="5"/>
    </row>
    <row r="20" spans="1:5" ht="42" customHeight="1">
      <c r="A20" s="2">
        <v>15</v>
      </c>
      <c r="B20" s="3" t="s">
        <v>21</v>
      </c>
      <c r="C20" s="4" t="s">
        <v>24</v>
      </c>
      <c r="D20" s="2"/>
      <c r="E20" s="5"/>
    </row>
    <row r="21" spans="1:5" ht="42" customHeight="1">
      <c r="A21" s="2">
        <v>16</v>
      </c>
      <c r="B21" s="3" t="s">
        <v>21</v>
      </c>
      <c r="C21" s="4" t="s">
        <v>25</v>
      </c>
      <c r="D21" s="2"/>
      <c r="E21" s="5"/>
    </row>
    <row r="22" spans="1:5" ht="42" customHeight="1">
      <c r="A22" s="2">
        <v>17</v>
      </c>
      <c r="B22" s="3" t="s">
        <v>21</v>
      </c>
      <c r="C22" s="4" t="s">
        <v>26</v>
      </c>
      <c r="D22" s="2"/>
      <c r="E22" s="5"/>
    </row>
    <row r="23" spans="1:5" ht="42" customHeight="1">
      <c r="A23" s="2">
        <v>18</v>
      </c>
      <c r="B23" s="3" t="s">
        <v>21</v>
      </c>
      <c r="C23" s="4" t="s">
        <v>27</v>
      </c>
      <c r="D23" s="2"/>
      <c r="E23" s="5"/>
    </row>
    <row r="24" spans="1:5" ht="42" customHeight="1">
      <c r="A24" s="2">
        <v>19</v>
      </c>
      <c r="B24" s="3" t="s">
        <v>21</v>
      </c>
      <c r="C24" s="4" t="s">
        <v>28</v>
      </c>
      <c r="D24" s="2"/>
      <c r="E24" s="5"/>
    </row>
    <row r="25" spans="1:5" ht="42" customHeight="1">
      <c r="A25" s="2">
        <v>20</v>
      </c>
      <c r="B25" s="3" t="s">
        <v>21</v>
      </c>
      <c r="C25" s="4" t="s">
        <v>29</v>
      </c>
      <c r="D25" s="2"/>
      <c r="E25" s="5"/>
    </row>
    <row r="26" spans="1:5" ht="42" customHeight="1">
      <c r="A26" s="2">
        <v>21</v>
      </c>
      <c r="B26" s="3" t="s">
        <v>30</v>
      </c>
      <c r="C26" s="4" t="s">
        <v>31</v>
      </c>
      <c r="D26" s="2"/>
      <c r="E26" s="5"/>
    </row>
    <row r="27" spans="1:5" ht="42" customHeight="1">
      <c r="A27" s="2">
        <v>22</v>
      </c>
      <c r="B27" s="3" t="s">
        <v>30</v>
      </c>
      <c r="C27" s="4" t="s">
        <v>32</v>
      </c>
      <c r="D27" s="2"/>
      <c r="E27" s="5"/>
    </row>
    <row r="28" spans="1:5" ht="42" customHeight="1">
      <c r="A28" s="2">
        <v>23</v>
      </c>
      <c r="B28" s="3" t="s">
        <v>30</v>
      </c>
      <c r="C28" s="4" t="s">
        <v>33</v>
      </c>
      <c r="D28" s="2"/>
      <c r="E28" s="5"/>
    </row>
    <row r="29" spans="1:5" ht="42" customHeight="1">
      <c r="A29" s="2">
        <v>24</v>
      </c>
      <c r="B29" s="3" t="s">
        <v>30</v>
      </c>
      <c r="C29" s="4" t="s">
        <v>34</v>
      </c>
      <c r="D29" s="2"/>
      <c r="E29" s="5"/>
    </row>
    <row r="30" spans="1:5" ht="42" customHeight="1">
      <c r="A30" s="2">
        <v>25</v>
      </c>
      <c r="B30" s="3" t="s">
        <v>35</v>
      </c>
      <c r="C30" s="4" t="s">
        <v>36</v>
      </c>
      <c r="D30" s="2"/>
      <c r="E30" s="5"/>
    </row>
    <row r="31" spans="1:5" ht="42" customHeight="1">
      <c r="A31" s="2">
        <v>26</v>
      </c>
      <c r="B31" s="3" t="s">
        <v>35</v>
      </c>
      <c r="C31" s="4" t="s">
        <v>37</v>
      </c>
      <c r="D31" s="2"/>
      <c r="E31" s="5"/>
    </row>
    <row r="33" spans="1:5" ht="19.5" customHeight="1">
      <c r="A33" s="11" t="s">
        <v>38</v>
      </c>
      <c r="B33" s="11"/>
      <c r="C33" s="11"/>
      <c r="D33" s="11"/>
      <c r="E33" s="11"/>
    </row>
    <row r="34" spans="1:5">
      <c r="A34" s="14" t="s">
        <v>39</v>
      </c>
      <c r="B34" s="14"/>
      <c r="C34" s="14"/>
      <c r="D34" s="6">
        <v>26</v>
      </c>
    </row>
    <row r="35" spans="1:5">
      <c r="A35" s="14" t="s">
        <v>40</v>
      </c>
      <c r="B35" s="14"/>
      <c r="C35" s="14"/>
      <c r="D35" s="6">
        <f>COUNTIF(D6:D31,"Sim")</f>
        <v>0</v>
      </c>
    </row>
    <row r="36" spans="1:5">
      <c r="A36" s="14" t="s">
        <v>41</v>
      </c>
      <c r="B36" s="14"/>
      <c r="C36" s="14"/>
      <c r="D36" s="6">
        <f>COUNTIF(D6:D31,"Parcial")</f>
        <v>0</v>
      </c>
    </row>
    <row r="37" spans="1:5">
      <c r="A37" s="14" t="s">
        <v>42</v>
      </c>
      <c r="B37" s="14"/>
      <c r="C37" s="14"/>
      <c r="D37" s="6">
        <f>COUNTIF(D6:D31,"Não")</f>
        <v>0</v>
      </c>
    </row>
    <row r="38" spans="1:5">
      <c r="A38" s="14" t="s">
        <v>43</v>
      </c>
      <c r="B38" s="14"/>
      <c r="C38" s="14"/>
      <c r="D38" s="6">
        <f>COUNTIF(D6:D31,"N/A")</f>
        <v>0</v>
      </c>
    </row>
    <row r="39" spans="1:5" ht="15.75">
      <c r="A39" s="14" t="s">
        <v>44</v>
      </c>
      <c r="B39" s="14"/>
      <c r="C39" s="14"/>
      <c r="D39" s="7">
        <f>IFERROR((D35+D36*0.5)/(D35+D36+D37),0)</f>
        <v>0</v>
      </c>
    </row>
    <row r="41" spans="1:5" ht="15" customHeight="1">
      <c r="A41" s="12" t="s">
        <v>45</v>
      </c>
      <c r="B41" s="12"/>
      <c r="C41" s="12"/>
      <c r="D41" s="12"/>
      <c r="E41" s="12"/>
    </row>
    <row r="43" spans="1:5" ht="27.75" customHeight="1">
      <c r="A43" s="13" t="s">
        <v>46</v>
      </c>
      <c r="B43" s="13"/>
      <c r="C43" s="13"/>
      <c r="D43" s="13"/>
      <c r="E43" s="13"/>
    </row>
  </sheetData>
  <mergeCells count="12">
    <mergeCell ref="A41:E41"/>
    <mergeCell ref="A43:E43"/>
    <mergeCell ref="A35:C35"/>
    <mergeCell ref="A36:C36"/>
    <mergeCell ref="A37:C37"/>
    <mergeCell ref="A38:C38"/>
    <mergeCell ref="A39:C39"/>
    <mergeCell ref="A1:E1"/>
    <mergeCell ref="A2:E2"/>
    <mergeCell ref="A3:E3"/>
    <mergeCell ref="A33:E33"/>
    <mergeCell ref="A34:C34"/>
  </mergeCells>
  <dataValidations count="1">
    <dataValidation type="list" allowBlank="1" sqref="D6:D31" xr:uid="{00000000-0002-0000-0000-000000000000}">
      <formula1>"Sim,Parcial,Não,N/A"</formula1>
      <formula2>0</formula2>
    </dataValidation>
  </dataValidations>
  <pageMargins left="0.4" right="0.4" top="0.5" bottom="0.5" header="0.511811023622047" footer="0.511811023622047"/>
  <pageSetup fitToHeight="0" orientation="landscape" horizontalDpi="300" verticalDpi="300"/>
</worksheet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Mateus Furtado dos Santos</cp:lastModifiedBy>
  <cp:revision>0</cp:revision>
  <dcterms:created xsi:type="dcterms:W3CDTF">2026-09-01T13:11:58Z</dcterms:created>
  <dcterms:modified xsi:type="dcterms:W3CDTF">2026-09-01T19:36:09Z</dcterms:modified>
  <cp:category/>
  <cp:contentStatus/>
</cp:coreProperties>
</file>